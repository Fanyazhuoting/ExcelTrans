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/>
  <mc:AlternateContent xmlns:mc="http://schemas.openxmlformats.org/markup-compatibility/2006">
    <mc:Choice Requires="x15">
      <x15ac:absPath xmlns:x15ac="http://schemas.microsoft.com/office/spreadsheetml/2010/11/ac" url="/Users/fanyazhuoting/Documents/AStar/"/>
    </mc:Choice>
  </mc:AlternateContent>
  <xr:revisionPtr revIDLastSave="0" documentId="13_ncr:1_{6ADB9B45-FEE1-8447-AF04-2F7B7CAED822}" xr6:coauthVersionLast="47" xr6:coauthVersionMax="47" xr10:uidLastSave="{00000000-0000-0000-0000-000000000000}"/>
  <bookViews>
    <workbookView xWindow="0" yWindow="740" windowWidth="29400" windowHeight="16740" tabRatio="728" activeTab="2" xr2:uid="{040DC2EE-8E27-44E1-BFFB-EEC7B065C481}"/>
  </bookViews>
  <sheets>
    <sheet name="Power" sheetId="1" r:id="rId1"/>
    <sheet name="Industry" sheetId="2" r:id="rId2"/>
    <sheet name="Primary" sheetId="3" r:id="rId3"/>
    <sheet name="Transport" sheetId="4" r:id="rId4"/>
    <sheet name="Water" sheetId="5" r:id="rId5"/>
    <sheet name="Waste" sheetId="6" r:id="rId6"/>
    <sheet name="Building" sheetId="7" r:id="rId7"/>
    <sheet name="Household" sheetId="8" r:id="rId8"/>
    <sheet name="Agri" sheetId="9" r:id="rId9"/>
    <sheet name="InfoComm" sheetId="10" r:id="rId10"/>
  </sheets>
  <externalReferences>
    <externalReference r:id="rId11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Koo Chia Wei</author>
    <author>Author</author>
  </authors>
  <commentList>
    <comment ref="F2" authorId="0" shapeId="0" xr:uid="{583ACC6F-0F17-4275-8D6A-A1843675C134}">
      <text>
        <r>
          <rPr>
            <b/>
            <sz val="9"/>
            <color rgb="FF000000"/>
            <rFont val="Tahoma"/>
            <family val="2"/>
          </rPr>
          <t>Koo Chia Wei: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will agencies ask where and when yall use?</t>
        </r>
      </text>
    </comment>
    <comment ref="R4" authorId="0" shapeId="0" xr:uid="{2DB412F7-8DFB-454A-811E-443FBB490383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correct WP2 eventually</t>
        </r>
      </text>
    </comment>
    <comment ref="U10" authorId="0" shapeId="0" xr:uid="{94D1C5EA-0027-4A36-964C-9CBABE84A3C2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1" authorId="0" shapeId="0" xr:uid="{1F604F9F-C508-4018-A498-DD275343B17A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2" authorId="0" shapeId="0" xr:uid="{2693A24D-19D4-4021-80EC-F3C285EDDD2F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3" authorId="0" shapeId="0" xr:uid="{B110950D-7ACB-4068-8E6C-50FBC21ED20E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4" authorId="0" shapeId="0" xr:uid="{DF3A60CC-A329-4686-8B48-8B1B59115596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5" authorId="0" shapeId="0" xr:uid="{39261782-1781-4146-B4F2-F8087A13FA94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6" authorId="0" shapeId="0" xr:uid="{780FACCA-1988-4107-B77E-167614769D6C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7" authorId="0" shapeId="0" xr:uid="{41317DE8-0CC1-4085-94E9-57DAA0DD62D4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8" authorId="0" shapeId="0" xr:uid="{04EB0826-1488-4D49-808B-4B51919C61F2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9" authorId="0" shapeId="0" xr:uid="{C99C3826-912A-4059-BB94-81F85CB08D64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Z20" authorId="0" shapeId="0" xr:uid="{CB890448-738E-4CCA-8708-EF8E882BB012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Applicable for all years</t>
        </r>
      </text>
    </comment>
    <comment ref="I21" authorId="1" shapeId="0" xr:uid="{7930F9E0-A1DE-4C72-AFF8-BAF8E0BB917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No Minimum Investment Block</t>
        </r>
      </text>
    </comment>
    <comment ref="M21" authorId="0" shapeId="0" xr:uid="{D122B4D9-BFE3-4B88-9342-46618413B6B5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Lifetime applies across years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Koo Chia Wei</author>
  </authors>
  <commentList>
    <comment ref="F2" authorId="0" shapeId="0" xr:uid="{4B1B8F57-33C6-4436-B680-8390BBF682FE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will agencies ask where and when yall use?</t>
        </r>
      </text>
    </comment>
    <comment ref="R4" authorId="0" shapeId="0" xr:uid="{D5A4C4F0-9B02-472C-9520-3E7D6EE068DF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correct WP2 eventually</t>
        </r>
      </text>
    </comment>
    <comment ref="U10" authorId="0" shapeId="0" xr:uid="{CF39DD1D-FB36-4C49-A04B-562A8A69CADA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1" authorId="0" shapeId="0" xr:uid="{7B1458BE-16B6-4108-9F71-5872B9A4858D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2" authorId="0" shapeId="0" xr:uid="{36A26545-1607-4853-A61B-1398520BA861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3" authorId="0" shapeId="0" xr:uid="{925F4B2E-BEB5-459F-A1DD-9A1AE76D5842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4" authorId="0" shapeId="0" xr:uid="{0311BAE9-811E-4D86-8905-652AC3383803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5" authorId="0" shapeId="0" xr:uid="{42394E34-6863-42AC-BE23-F2278C97CBD0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6" authorId="0" shapeId="0" xr:uid="{0B4C86C6-134F-41B1-A83B-49557421F180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7" authorId="0" shapeId="0" xr:uid="{A8EDC054-E2A8-4622-8D8D-CFDACEEAC1C8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8" authorId="0" shapeId="0" xr:uid="{457E7DCA-BDCF-4329-8C6B-FBC748EDCA7A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9" authorId="0" shapeId="0" xr:uid="{58AFCBF0-5EC2-4FB6-B58E-AD9BE22CF5B9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20" authorId="0" shapeId="0" xr:uid="{C41B5134-1573-4F0B-9F75-3D435FDB6AFF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21" authorId="0" shapeId="0" xr:uid="{83A372B3-3C66-41BD-B7A9-36D7D981C2C9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Koo Chia Wei</author>
  </authors>
  <commentList>
    <comment ref="F2" authorId="0" shapeId="0" xr:uid="{BFC2FF5A-EB85-46B5-BA4A-B2666DC1A29B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will agencies ask where and when yall use?</t>
        </r>
      </text>
    </comment>
    <comment ref="R4" authorId="0" shapeId="0" xr:uid="{47A8FED3-049F-40D9-BF25-C0BF80A5FB29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correct WP2 eventually</t>
        </r>
      </text>
    </comment>
    <comment ref="U10" authorId="0" shapeId="0" xr:uid="{A1370468-8CFF-4CB6-AD54-262CB7CA041C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1" authorId="0" shapeId="0" xr:uid="{54FFAE37-4727-4918-BAAE-D9FEFF6ADBA6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2" authorId="0" shapeId="0" xr:uid="{A2E6AE38-4A2F-49D7-8708-6945C503D85B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3" authorId="0" shapeId="0" xr:uid="{9088A1FF-DC76-40B0-BBCA-726298C21F20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4" authorId="0" shapeId="0" xr:uid="{6A108FDB-8AF7-48BC-A3AD-EA9A0E44CBBF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5" authorId="0" shapeId="0" xr:uid="{B313AA24-5C4B-4E7F-87A6-B90CED48C682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6" authorId="0" shapeId="0" xr:uid="{D7FDB1BA-559F-4D24-9464-36328D820829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7" authorId="0" shapeId="0" xr:uid="{3099649E-BC27-4F7B-BC95-E4FB8D01A74D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8" authorId="0" shapeId="0" xr:uid="{7667C8C1-21E2-4B63-9F4F-0778E72108EE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9" authorId="0" shapeId="0" xr:uid="{4BBD1398-FA67-45FF-B1D5-D5E3DD6260F9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20" authorId="0" shapeId="0" xr:uid="{7C0B26AE-9B1A-4CE8-8582-B0C259AFFD7A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21" authorId="0" shapeId="0" xr:uid="{40B9F70B-2C62-4E00-B710-E7E2CCD7361D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Koo Chia Wei</author>
  </authors>
  <commentList>
    <comment ref="F2" authorId="0" shapeId="0" xr:uid="{EA303FB2-55A5-4E56-AA34-7A6090DEB43C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will agencies ask where and when yall use?</t>
        </r>
      </text>
    </comment>
    <comment ref="R4" authorId="0" shapeId="0" xr:uid="{93596366-7E0E-4BB8-AB73-477BDAF4B87B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correct WP2 eventually</t>
        </r>
      </text>
    </comment>
    <comment ref="U10" authorId="0" shapeId="0" xr:uid="{249E3FDD-7D7D-487D-834D-5F98F9583C4A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1" authorId="0" shapeId="0" xr:uid="{425B714E-8293-473E-88DD-578A269B68C9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2" authorId="0" shapeId="0" xr:uid="{C409D29F-7820-429F-A196-6E1E718F3202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3" authorId="0" shapeId="0" xr:uid="{6759FD79-86E6-4D18-AE46-BE335F867C54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4" authorId="0" shapeId="0" xr:uid="{0C03D4BD-9ADF-4F69-A1E2-00018A377177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5" authorId="0" shapeId="0" xr:uid="{2DCBF554-D43D-44C7-9281-25FC78EBBF51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6" authorId="0" shapeId="0" xr:uid="{D5A87202-9508-4661-A956-B4D817C18777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7" authorId="0" shapeId="0" xr:uid="{CD7CB35A-2A47-4A0C-9230-D699C7F7223E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8" authorId="0" shapeId="0" xr:uid="{5EC28119-D29B-4019-8DF4-0F0E26877811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9" authorId="0" shapeId="0" xr:uid="{C38DD1AA-E8AE-4007-8EE9-643E8C93E30C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20" authorId="0" shapeId="0" xr:uid="{D940B4E2-0F15-4F85-89F8-52369E0D3CDF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21" authorId="0" shapeId="0" xr:uid="{5F404C81-0BFE-4D4D-97AD-32461A68FE59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Koo Chia Wei</author>
  </authors>
  <commentList>
    <comment ref="F2" authorId="0" shapeId="0" xr:uid="{9684674A-27AC-495D-A829-9F613FB24B18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will agencies ask where and when yall use?</t>
        </r>
      </text>
    </comment>
    <comment ref="R4" authorId="0" shapeId="0" xr:uid="{EE5623F8-DCB0-4BEA-A939-F2015A988197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correct WP2 eventually</t>
        </r>
      </text>
    </comment>
    <comment ref="U10" authorId="0" shapeId="0" xr:uid="{893DC7DE-CC7E-4CAA-9A5C-8EA4AFA8C969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1" authorId="0" shapeId="0" xr:uid="{8ADAB934-86A5-498D-96F4-A1EFFA708EC2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2" authorId="0" shapeId="0" xr:uid="{8BFF5AC2-3B7D-4BC4-8F9D-B2AD985E1EA9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3" authorId="0" shapeId="0" xr:uid="{7C68FA68-4A5F-420E-AB91-E80441254603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4" authorId="0" shapeId="0" xr:uid="{ABD38DEC-827F-4482-A455-4FCCFFC8B204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5" authorId="0" shapeId="0" xr:uid="{B785EDA1-C3C0-4296-99FE-456CC21CE5D6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6" authorId="0" shapeId="0" xr:uid="{FCC9088A-CA97-4D7B-881A-F9C70B2F8629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7" authorId="0" shapeId="0" xr:uid="{05649210-51EA-4DB7-95FD-1B35D42E9B3A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8" authorId="0" shapeId="0" xr:uid="{D0EA250F-2B85-49C2-BD03-A86B085BFA07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9" authorId="0" shapeId="0" xr:uid="{E5279F13-3769-4342-989C-1F49C8128DF2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20" authorId="0" shapeId="0" xr:uid="{A48FDDE1-4248-4145-8AA0-EE92E8AEA1FC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21" authorId="0" shapeId="0" xr:uid="{4FFB6CB7-88D7-40EB-B55E-7D2B804F0FD3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Koo Chia Wei</author>
  </authors>
  <commentList>
    <comment ref="F2" authorId="0" shapeId="0" xr:uid="{ED9A0F3B-BEB3-425E-B4B6-E1006368CC42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will agencies ask where and when yall use?</t>
        </r>
      </text>
    </comment>
    <comment ref="R4" authorId="0" shapeId="0" xr:uid="{55DC8E28-4183-4D89-8B43-90DB1DE230A0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correct WP2 eventually</t>
        </r>
      </text>
    </comment>
    <comment ref="U10" authorId="0" shapeId="0" xr:uid="{D4510BF5-E3B9-4E56-84C8-FC64CF707425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1" authorId="0" shapeId="0" xr:uid="{2AC9C683-D16F-4EB0-8E2A-0DE88DD67977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2" authorId="0" shapeId="0" xr:uid="{058A84B3-B2F3-47EE-BDD3-38D3CAC1CC3F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3" authorId="0" shapeId="0" xr:uid="{E4DF0AFB-68ED-4452-BCCD-2074A8830428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4" authorId="0" shapeId="0" xr:uid="{3F74BACF-05EA-49B5-B4D6-99F2FCA008E3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5" authorId="0" shapeId="0" xr:uid="{528CF86F-5EB6-4633-8B4B-3565077FBC98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6" authorId="0" shapeId="0" xr:uid="{36A3616E-9B4A-4302-9DFE-7010022C18F1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7" authorId="0" shapeId="0" xr:uid="{B7E24E94-7338-49ED-B58C-917D371BA583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8" authorId="0" shapeId="0" xr:uid="{D3DF2E76-C7EB-4A7F-9833-43BB3E3AD17E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9" authorId="0" shapeId="0" xr:uid="{70220BB4-3387-4917-919E-00A178662412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20" authorId="0" shapeId="0" xr:uid="{0DF0FCE3-9F3C-47C8-A7ED-41EB5CE11EE4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21" authorId="0" shapeId="0" xr:uid="{20DB6FF3-56F1-4A4A-AE24-25410E34FC3D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Koo Chia Wei</author>
  </authors>
  <commentList>
    <comment ref="F2" authorId="0" shapeId="0" xr:uid="{4ADD115F-C922-4102-BF94-009FA57203A3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will agencies ask where and when yall use?</t>
        </r>
      </text>
    </comment>
    <comment ref="R4" authorId="0" shapeId="0" xr:uid="{922DB8A8-63C9-431E-AD3B-337DBF7A1A8F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correct WP2 eventually</t>
        </r>
      </text>
    </comment>
    <comment ref="U10" authorId="0" shapeId="0" xr:uid="{00076FF3-28D0-4199-A165-CE6BEF9BB952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1" authorId="0" shapeId="0" xr:uid="{A1CEFBE8-5B44-4EDE-BDB0-364D8879B18D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2" authorId="0" shapeId="0" xr:uid="{A45E9C92-A305-4B20-BEDC-96AC9AD099AE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3" authorId="0" shapeId="0" xr:uid="{8F0F1A86-5A01-4980-9F4B-220E77A3B87E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4" authorId="0" shapeId="0" xr:uid="{5A4A38E4-B0AF-4D7F-AA95-54F9E9B975DB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5" authorId="0" shapeId="0" xr:uid="{76D4C937-6DBE-44CC-BC42-2F6704738ED7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6" authorId="0" shapeId="0" xr:uid="{8C6350B2-68A3-40B3-823B-6CF7FCD317CB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7" authorId="0" shapeId="0" xr:uid="{45E65B8A-479C-45C6-91E1-35CE6D1488A7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8" authorId="0" shapeId="0" xr:uid="{C928EB52-5778-4C68-BCFD-D4BD4CA010A6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9" authorId="0" shapeId="0" xr:uid="{7D490FC9-15EC-4C0A-AE69-D0D0EB4DAD47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20" authorId="0" shapeId="0" xr:uid="{40EC329C-7BF2-4827-9BB2-93AFA4595250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21" authorId="0" shapeId="0" xr:uid="{E158D0DF-F554-46B8-9EB0-BCE971EB24D7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Koo Chia Wei</author>
  </authors>
  <commentList>
    <comment ref="F2" authorId="0" shapeId="0" xr:uid="{ECCB7CC6-954A-4208-9305-738E3E6D49B0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will agencies ask where and when yall use?</t>
        </r>
      </text>
    </comment>
    <comment ref="R4" authorId="0" shapeId="0" xr:uid="{60F2D48E-83D8-46BA-A3E4-68F33818040E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correct WP2 eventually</t>
        </r>
      </text>
    </comment>
    <comment ref="U10" authorId="0" shapeId="0" xr:uid="{15C86D3E-93D8-4E0A-A398-DFF0045A06BC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1" authorId="0" shapeId="0" xr:uid="{5B1C7C2C-287D-4BFB-8FE9-D0C01AEA7919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2" authorId="0" shapeId="0" xr:uid="{414A0EB1-E220-40FE-B4A1-9A21B49C0EA9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3" authorId="0" shapeId="0" xr:uid="{05A6A6E0-E1E0-4EE9-B2A4-07588F4D7636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4" authorId="0" shapeId="0" xr:uid="{410D99F6-4B58-4E25-897F-4BED143DBE31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5" authorId="0" shapeId="0" xr:uid="{994084D3-C531-4022-9EF4-D2EE641C79B8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6" authorId="0" shapeId="0" xr:uid="{0897BAF5-00C4-4DFE-9787-C526305B6381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7" authorId="0" shapeId="0" xr:uid="{259AEF82-0872-4590-86D7-44F83CECB2AD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8" authorId="0" shapeId="0" xr:uid="{3246CE90-EAF8-4B7F-8236-675B58A81B0A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9" authorId="0" shapeId="0" xr:uid="{27FC81BD-FC79-4127-8CC2-22A239BD30C0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20" authorId="0" shapeId="0" xr:uid="{C3F7CCBA-A8C6-4769-89C7-51036D4210FE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21" authorId="0" shapeId="0" xr:uid="{F1712C34-821F-4A0E-BCF1-34ECC5C21825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Koo Chia Wei</author>
  </authors>
  <commentList>
    <comment ref="F2" authorId="0" shapeId="0" xr:uid="{685315AC-A69E-4D75-8C59-269941E39B22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will agencies ask where and when yall use?</t>
        </r>
      </text>
    </comment>
    <comment ref="R4" authorId="0" shapeId="0" xr:uid="{6FFD5B77-1E7A-4E8E-AFA1-06DDF847C20B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correct WP2 eventually</t>
        </r>
      </text>
    </comment>
    <comment ref="U10" authorId="0" shapeId="0" xr:uid="{17BA13C3-C8FA-4DB8-9963-9F64B5740E8A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1" authorId="0" shapeId="0" xr:uid="{E61E1E4C-21A8-4ABE-A43F-1104B64D23F4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2" authorId="0" shapeId="0" xr:uid="{B303F261-BB62-4092-AC21-083FFDDE38CF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3" authorId="0" shapeId="0" xr:uid="{D8F3B3AF-A481-4B87-8C55-EC2E1D7DD15A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4" authorId="0" shapeId="0" xr:uid="{A46C8BF8-074D-4A68-A390-9EF01C909B5E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5" authorId="0" shapeId="0" xr:uid="{C2867243-EC2C-428F-8E70-DD8D867A5261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6" authorId="0" shapeId="0" xr:uid="{B6174C17-2999-4305-AEC6-827EF9402211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7" authorId="0" shapeId="0" xr:uid="{8CFFEDDC-AB9B-4CF2-8DE0-D8B770D0004D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8" authorId="0" shapeId="0" xr:uid="{C2AF8CB2-6BC9-4913-8C38-549F1A9DA704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9" authorId="0" shapeId="0" xr:uid="{D3C200D4-0BC2-44E5-9C37-16510A1A775F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20" authorId="0" shapeId="0" xr:uid="{B520F077-293F-4195-90EE-156B29F62219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21" authorId="0" shapeId="0" xr:uid="{0D34BA5F-C0A1-49A3-914F-BA0D1A2A8A50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Koo Chia Wei</author>
  </authors>
  <commentList>
    <comment ref="F2" authorId="0" shapeId="0" xr:uid="{7987519B-61DD-489D-8261-57DD85C3B827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will agencies ask where and when yall use?</t>
        </r>
      </text>
    </comment>
    <comment ref="R4" authorId="0" shapeId="0" xr:uid="{A47F26C0-AB56-4043-8387-2784EA9DD7B4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correct WP2 eventually</t>
        </r>
      </text>
    </comment>
    <comment ref="U10" authorId="0" shapeId="0" xr:uid="{91D5EC3E-8407-4A77-BD58-69BF4580CE6E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1" authorId="0" shapeId="0" xr:uid="{60090C09-B5FF-4A92-9C31-3F338231E346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2" authorId="0" shapeId="0" xr:uid="{B5E68A7E-2516-44A3-9070-3CB8FF6A0AE8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3" authorId="0" shapeId="0" xr:uid="{6EB1B640-B6A0-4A36-BABF-B8009FBBFE5C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4" authorId="0" shapeId="0" xr:uid="{1981E54E-0B40-4DCC-92CC-77FEA7239372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5" authorId="0" shapeId="0" xr:uid="{62A85588-AE8C-4D34-B872-83ABF72E837F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6" authorId="0" shapeId="0" xr:uid="{37C8E80C-292A-491F-835F-DAEB0570B63B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7" authorId="0" shapeId="0" xr:uid="{77FE4F6B-A0B9-412C-B8FB-AD1BFBC6F32F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8" authorId="0" shapeId="0" xr:uid="{74123288-B063-4A40-98B4-93C04F3FA74A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19" authorId="0" shapeId="0" xr:uid="{2957F22E-2FD1-426E-B2D3-E690EDBCB37C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20" authorId="0" shapeId="0" xr:uid="{7C8825C4-B721-4E59-81DB-24F2C0955D25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  <comment ref="U21" authorId="0" shapeId="0" xr:uid="{0960BF11-2E99-4F4E-81AD-64A02295F8B1}">
      <text>
        <r>
          <rPr>
            <b/>
            <sz val="9"/>
            <color indexed="81"/>
            <rFont val="Tahoma"/>
            <family val="2"/>
          </rPr>
          <t>Koo Chia Wei:</t>
        </r>
        <r>
          <rPr>
            <sz val="9"/>
            <color indexed="81"/>
            <rFont val="Tahoma"/>
            <family val="2"/>
          </rPr>
          <t xml:space="preserve">
need to add "*yr" for FOM</t>
        </r>
      </text>
    </comment>
  </commentList>
</comments>
</file>

<file path=xl/sharedStrings.xml><?xml version="1.0" encoding="utf-8"?>
<sst xmlns="http://schemas.openxmlformats.org/spreadsheetml/2006/main" count="1550" uniqueCount="160">
  <si>
    <t>traceability</t>
  </si>
  <si>
    <t>dataset descriptor</t>
  </si>
  <si>
    <t>EcoTEA</t>
  </si>
  <si>
    <t>WP Specific technology descriptors</t>
  </si>
  <si>
    <r>
      <rPr>
        <b/>
        <sz val="11"/>
        <color theme="1"/>
        <rFont val="Aptos Narrow"/>
        <family val="2"/>
        <scheme val="minor"/>
      </rPr>
      <t>other non EcoTEA</t>
    </r>
    <r>
      <rPr>
        <sz val="11"/>
        <color theme="1"/>
        <rFont val="Aptos Narrow"/>
        <family val="2"/>
        <scheme val="minor"/>
      </rPr>
      <t xml:space="preserve"> (model contraints)</t>
    </r>
  </si>
  <si>
    <t>Notes only due to multiple attribute needed for capacity</t>
  </si>
  <si>
    <t>WP6 Title</t>
  </si>
  <si>
    <t>data owner</t>
  </si>
  <si>
    <t>data provider</t>
  </si>
  <si>
    <t>data source</t>
  </si>
  <si>
    <t>data source description (references)</t>
  </si>
  <si>
    <t>data user</t>
  </si>
  <si>
    <t>usage purpose</t>
  </si>
  <si>
    <t>technology/process</t>
  </si>
  <si>
    <t>technology/process description</t>
  </si>
  <si>
    <t>Geography</t>
  </si>
  <si>
    <t>year of data</t>
  </si>
  <si>
    <t>Technology Start Year</t>
  </si>
  <si>
    <t>technology lifetime (years)</t>
  </si>
  <si>
    <t>ef</t>
  </si>
  <si>
    <t>ef ref unit</t>
  </si>
  <si>
    <t>base currency (numerator)</t>
  </si>
  <si>
    <t>capex</t>
  </si>
  <si>
    <t>capex ref unit (denominator)</t>
  </si>
  <si>
    <t>fixed opex</t>
  </si>
  <si>
    <t>fixed opex ref unit (denominator)</t>
  </si>
  <si>
    <t>variable opex</t>
  </si>
  <si>
    <t>variable opex ref unit (denominator)</t>
  </si>
  <si>
    <t>efficiency</t>
  </si>
  <si>
    <t>commodity share</t>
  </si>
  <si>
    <t>commodity
(hydrogen share, % co2 capture)</t>
  </si>
  <si>
    <t>heat rate</t>
  </si>
  <si>
    <t>capacity</t>
  </si>
  <si>
    <t>capacity type (fixed or upper)</t>
  </si>
  <si>
    <t>WP1 Ref</t>
  </si>
  <si>
    <t>WP2 Ref</t>
  </si>
  <si>
    <t>-</t>
  </si>
  <si>
    <t>Model Run Name</t>
  </si>
  <si>
    <t>Asset Name</t>
  </si>
  <si>
    <t>Asset Description</t>
  </si>
  <si>
    <t>Country</t>
  </si>
  <si>
    <t>Year</t>
  </si>
  <si>
    <t>Technology Lifetime</t>
  </si>
  <si>
    <t>Emissions Factors</t>
  </si>
  <si>
    <t>CAPEX</t>
  </si>
  <si>
    <t>OPEX</t>
  </si>
  <si>
    <t>WP1 Specific Tech Descriptors</t>
  </si>
  <si>
    <t>WP1 Constraints</t>
  </si>
  <si>
    <t>max import possible</t>
  </si>
  <si>
    <t>max solar output allowed</t>
  </si>
  <si>
    <t>WP3 Ref</t>
  </si>
  <si>
    <t>WP4 Ref</t>
  </si>
  <si>
    <t>WP5 Ref</t>
  </si>
  <si>
    <t>SG-TIMES</t>
  </si>
  <si>
    <t>GMIT/GREF Model</t>
  </si>
  <si>
    <t>Process</t>
  </si>
  <si>
    <t>Process Description</t>
  </si>
  <si>
    <t>Region</t>
  </si>
  <si>
    <t>NCAP_START: Val_field</t>
  </si>
  <si>
    <t>NCAP_TLIFE (Years): Val_field</t>
  </si>
  <si>
    <t>VDA_EMCB (ktco2e)</t>
  </si>
  <si>
    <t>PJ</t>
  </si>
  <si>
    <t>Currency</t>
  </si>
  <si>
    <t>NCAP_COST (M$): Val_field</t>
  </si>
  <si>
    <t>NCAP_COST: Capacity unit
GW; Pja; kW</t>
  </si>
  <si>
    <t>NCAP_FOM (M$): Val_field;</t>
  </si>
  <si>
    <t>NCAP_COST: Capacity unit
GW; Pja; kW-yr</t>
  </si>
  <si>
    <t xml:space="preserve">
ACT_COST (M$): Val_field;
IRE_PRICE (M$): Val_field</t>
  </si>
  <si>
    <t>ACT_COST: Activity unit;
IRE_PRICE: Activity unit
PJ; MWh</t>
  </si>
  <si>
    <t>ACT_EFF</t>
  </si>
  <si>
    <t>FLO_SHARE</t>
  </si>
  <si>
    <t>Commodity</t>
  </si>
  <si>
    <t>see table on the right</t>
  </si>
  <si>
    <t xml:space="preserve">ACT_BND (in PJ) for electricity imports;
SG_TIMES don’t have
fossil fuels imports;
UC_RHSRT (in GW) for hydrogen imports </t>
  </si>
  <si>
    <t>UC_RHSRT (GW)</t>
  </si>
  <si>
    <t>UC_RHSRT 
bmc plant, cogen plant, solar, hydrogen;</t>
  </si>
  <si>
    <t>EMA/NREL</t>
  </si>
  <si>
    <t>[EMA] Earliest Build Year</t>
  </si>
  <si>
    <t>Build Cost (S$)</t>
  </si>
  <si>
    <t>FO&amp;M Charge (S$)</t>
  </si>
  <si>
    <t>VO&amp;M (S$)</t>
  </si>
  <si>
    <t>EMA NREL</t>
  </si>
  <si>
    <t>Power</t>
  </si>
  <si>
    <t>ESI</t>
  </si>
  <si>
    <t>WP1</t>
  </si>
  <si>
    <t>GREF</t>
  </si>
  <si>
    <t>SG GREF v8.14; VT_SG_PWR_GREF</t>
  </si>
  <si>
    <t>PWRNGACCF01</t>
  </si>
  <si>
    <t>Natural gas-fired combined cycle plant F class </t>
  </si>
  <si>
    <t>SG</t>
  </si>
  <si>
    <t>MSGD2016</t>
  </si>
  <si>
    <t>GW</t>
  </si>
  <si>
    <t>GW*yr(2018)</t>
  </si>
  <si>
    <t>PJ (2018)</t>
  </si>
  <si>
    <t>PWRNGA</t>
  </si>
  <si>
    <t>AFA</t>
  </si>
  <si>
    <t>capacity to activity factor</t>
  </si>
  <si>
    <t>UP</t>
  </si>
  <si>
    <t>FX</t>
  </si>
  <si>
    <t>by energy use</t>
  </si>
  <si>
    <t>Scenario analysis</t>
  </si>
  <si>
    <t>Interpolation rule</t>
  </si>
  <si>
    <t>capacity constraint</t>
  </si>
  <si>
    <t>SG GREF v8.14; VT_SG_IND_GREF</t>
  </si>
  <si>
    <t>IRFELECAE00</t>
  </si>
  <si>
    <t>Refinery Compressed Air System Standard Electricity</t>
  </si>
  <si>
    <t>Industry</t>
  </si>
  <si>
    <t>PJ*yr(2018)</t>
  </si>
  <si>
    <t>IRFELE</t>
  </si>
  <si>
    <t>NA</t>
  </si>
  <si>
    <t>Commodity Demand</t>
  </si>
  <si>
    <t>ktoe</t>
  </si>
  <si>
    <t>Primary</t>
  </si>
  <si>
    <t>SG GREF v8.14; VT_SG_PRI_GREF</t>
  </si>
  <si>
    <t>IMPCOA00</t>
  </si>
  <si>
    <t>Import Coal Standard</t>
  </si>
  <si>
    <r>
      <t>VO&amp;M/</t>
    </r>
    <r>
      <rPr>
        <i/>
        <sz val="11"/>
        <color rgb="FFFF0000"/>
        <rFont val="Aptos Narrow"/>
        <family val="2"/>
        <scheme val="minor"/>
      </rPr>
      <t xml:space="preserve">Resource cost </t>
    </r>
    <r>
      <rPr>
        <i/>
        <sz val="11"/>
        <color theme="1"/>
        <rFont val="Aptos Narrow"/>
        <family val="2"/>
        <scheme val="minor"/>
      </rPr>
      <t>(S$)</t>
    </r>
  </si>
  <si>
    <t>COA</t>
  </si>
  <si>
    <t>Existing capacity (PJ)</t>
  </si>
  <si>
    <t>SG GREF v8.14; VT_SG_TRN_GREF</t>
  </si>
  <si>
    <t>TRPGSLCAR00</t>
  </si>
  <si>
    <t>Transport Person Gasoline Car (No FC improvement)</t>
  </si>
  <si>
    <t>13.33 km/litre</t>
  </si>
  <si>
    <t>TRPGSL</t>
  </si>
  <si>
    <t>technology efficiency</t>
  </si>
  <si>
    <t>Tax cost</t>
  </si>
  <si>
    <t>Sub cost</t>
  </si>
  <si>
    <t>Transportation</t>
  </si>
  <si>
    <t>Water</t>
  </si>
  <si>
    <t>SG GREF v8.14; VT_SG_WAT_GREF</t>
  </si>
  <si>
    <t>WATELEDSA00</t>
  </si>
  <si>
    <t>Desalination standard</t>
  </si>
  <si>
    <t>PJ*yr</t>
  </si>
  <si>
    <t>4.1 kWh/m3</t>
  </si>
  <si>
    <t>ELE</t>
  </si>
  <si>
    <t>GWh</t>
  </si>
  <si>
    <t>Waste</t>
  </si>
  <si>
    <t>WSTELESOR00</t>
  </si>
  <si>
    <t>SG GREF v8.14; VT_SG_WST_GREF</t>
  </si>
  <si>
    <t>Waste Sorting Facilities Electricity Standard</t>
  </si>
  <si>
    <t>25 kWh/tone</t>
  </si>
  <si>
    <t>Building</t>
  </si>
  <si>
    <t>SG GREF v8.14; VT_SG_BLD_GREF</t>
  </si>
  <si>
    <t>BDEELEACC00</t>
  </si>
  <si>
    <t>Commercial A/C Chiller System Gold</t>
  </si>
  <si>
    <t>COP: 3.91</t>
  </si>
  <si>
    <t>Household</t>
  </si>
  <si>
    <t>SG GREF v8.14; VT_SG_HHD_GREF</t>
  </si>
  <si>
    <r>
      <t>VO&amp;M/</t>
    </r>
    <r>
      <rPr>
        <i/>
        <sz val="11"/>
        <color rgb="FFFF0000"/>
        <rFont val="Aptos Narrow"/>
        <family val="2"/>
        <scheme val="minor"/>
      </rPr>
      <t xml:space="preserve">Resource import cost </t>
    </r>
    <r>
      <rPr>
        <i/>
        <sz val="11"/>
        <color theme="1"/>
        <rFont val="Aptos Narrow"/>
        <family val="2"/>
        <scheme val="minor"/>
      </rPr>
      <t>(S$)</t>
    </r>
  </si>
  <si>
    <t>HHDELERFG90</t>
  </si>
  <si>
    <t>Residential Refrigerators 4 ticks (NEA Classification)</t>
  </si>
  <si>
    <t>Grade</t>
  </si>
  <si>
    <t>0.57 kWh/L</t>
  </si>
  <si>
    <t>AFVELEACC00</t>
  </si>
  <si>
    <t>Agrifood A/C Unitary Systems Standard</t>
  </si>
  <si>
    <t>IFEELEACC00</t>
  </si>
  <si>
    <t>EDC HVAC Stardard</t>
  </si>
  <si>
    <t>SG GREF v8.14; VT_SG_IFC_GREF</t>
  </si>
  <si>
    <t>SG GREF v8.14; VT_SG_AGR_GREF</t>
  </si>
  <si>
    <r>
      <t>VO&amp;M/</t>
    </r>
    <r>
      <rPr>
        <i/>
        <sz val="11"/>
        <color rgb="FFFF0000"/>
        <rFont val="Aptos Narrow"/>
        <family val="2"/>
        <scheme val="minor"/>
      </rPr>
      <t>Resource cost /import cost</t>
    </r>
    <r>
      <rPr>
        <i/>
        <sz val="11"/>
        <color theme="1"/>
        <rFont val="Aptos Narrow"/>
        <family val="2"/>
        <scheme val="minor"/>
      </rPr>
      <t>(S$)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</si>
</sst>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wrapText="1"/>
    </xf>
    <xf numFmtId="0" fontId="2" fillId="6" borderId="1" xfId="0" applyFont="1" applyFill="1" applyBorder="1" applyAlignment="1">
      <alignment horizontal="center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3" fillId="10" borderId="1" xfId="0" applyFont="1" applyFill="1" applyBorder="1" applyAlignment="1">
      <alignment wrapText="1"/>
    </xf>
    <xf numFmtId="0" fontId="5" fillId="0" borderId="0" xfId="0" applyFont="1"/>
    <xf numFmtId="0" fontId="3" fillId="10" borderId="6" xfId="0" applyFont="1" applyFill="1" applyBorder="1" applyAlignment="1">
      <alignment wrapText="1"/>
    </xf>
    <xf numFmtId="0" fontId="0" fillId="3" borderId="2" xfId="0" applyFill="1" applyBorder="1" applyAlignment="1">
      <alignment horizontal="center"/>
    </xf>
    <xf numFmtId="0" fontId="0" fillId="5" borderId="6" xfId="0" applyFill="1" applyBorder="1"/>
    <xf numFmtId="0" fontId="0" fillId="3" borderId="1" xfId="0" applyFill="1" applyBorder="1" applyAlignment="1">
      <alignment wrapText="1"/>
    </xf>
    <xf numFmtId="0" fontId="5" fillId="5" borderId="5" xfId="0" applyFont="1" applyFill="1" applyBorder="1"/>
    <xf numFmtId="0" fontId="3" fillId="11" borderId="6" xfId="0" applyFont="1" applyFill="1" applyBorder="1" applyAlignment="1">
      <alignment wrapText="1"/>
    </xf>
    <xf numFmtId="0" fontId="4" fillId="11" borderId="1" xfId="0" applyFont="1" applyFill="1" applyBorder="1"/>
    <xf numFmtId="0" fontId="0" fillId="0" borderId="5" xfId="0" applyBorder="1" applyAlignment="1">
      <alignment horizontal="center"/>
    </xf>
    <xf numFmtId="0" fontId="4" fillId="11" borderId="4" xfId="0" applyFont="1" applyFill="1" applyBorder="1"/>
    <xf numFmtId="0" fontId="4" fillId="11" borderId="5" xfId="0" applyFont="1" applyFill="1" applyBorder="1"/>
    <xf numFmtId="0" fontId="0" fillId="0" borderId="0" xfId="0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4" fillId="11" borderId="2" xfId="0" applyFont="1" applyFill="1" applyBorder="1"/>
    <xf numFmtId="0" fontId="0" fillId="5" borderId="9" xfId="0" applyFill="1" applyBorder="1"/>
    <xf numFmtId="0" fontId="9" fillId="10" borderId="1" xfId="0" applyFont="1" applyFill="1" applyBorder="1" applyAlignment="1">
      <alignment wrapText="1"/>
    </xf>
    <xf numFmtId="0" fontId="0" fillId="12" borderId="0" xfId="0" applyFill="1"/>
    <xf numFmtId="0" fontId="0" fillId="5" borderId="0" xfId="0" applyFill="1"/>
    <xf numFmtId="0" fontId="0" fillId="9" borderId="0" xfId="0" applyFill="1"/>
    <xf numFmtId="0" fontId="2" fillId="8" borderId="1" xfId="0" applyFont="1" applyFill="1" applyBorder="1" applyAlignment="1">
      <alignment horizontal="center"/>
    </xf>
    <xf numFmtId="0" fontId="3" fillId="10" borderId="3" xfId="0" applyFont="1" applyFill="1" applyBorder="1" applyAlignment="1">
      <alignment horizontal="center" wrapText="1"/>
    </xf>
    <xf numFmtId="0" fontId="0" fillId="7" borderId="1" xfId="0" applyFill="1" applyBorder="1" applyAlignment="1">
      <alignment horizontal="center"/>
    </xf>
    <xf numFmtId="0" fontId="3" fillId="11" borderId="1" xfId="0" applyFont="1" applyFill="1" applyBorder="1" applyAlignment="1">
      <alignment wrapText="1"/>
    </xf>
    <xf numFmtId="0" fontId="0" fillId="11" borderId="1" xfId="0" applyFill="1" applyBorder="1" applyAlignment="1">
      <alignment wrapText="1"/>
    </xf>
    <xf numFmtId="0" fontId="0" fillId="11" borderId="1" xfId="0" applyFill="1" applyBorder="1"/>
    <xf numFmtId="0" fontId="2" fillId="6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10" borderId="1" xfId="0" applyFont="1" applyFill="1" applyBorder="1" applyAlignment="1">
      <alignment horizontal="center" wrapText="1"/>
    </xf>
    <xf numFmtId="0" fontId="3" fillId="10" borderId="2" xfId="0" applyFont="1" applyFill="1" applyBorder="1" applyAlignment="1">
      <alignment horizontal="center" wrapText="1"/>
    </xf>
    <xf numFmtId="0" fontId="3" fillId="10" borderId="3" xfId="0" applyFont="1" applyFill="1" applyBorder="1" applyAlignment="1">
      <alignment horizontal="center" wrapText="1"/>
    </xf>
    <xf numFmtId="0" fontId="1" fillId="10" borderId="2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Working/LCA/CE2M/WP1%20Data/SG-TIMES/SG_GREF_v8.14/VT_SG_PRI_GREF.xlsx" TargetMode="External"/><Relationship Id="rId1" Type="http://schemas.openxmlformats.org/officeDocument/2006/relationships/externalLinkPath" Target="file:///C:/Working/LCA/CE2M/WP1%20Data/SG-TIMES/SG_GREF_v8.14/VT_SG_PRI_GRE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gend"/>
      <sheetName val="Coef"/>
      <sheetName val="Data_BY"/>
      <sheetName val="Commodities"/>
      <sheetName val="Import"/>
      <sheetName val="Mining"/>
    </sheetNames>
    <sheetDataSet>
      <sheetData sheetId="0"/>
      <sheetData sheetId="1"/>
      <sheetData sheetId="2">
        <row r="2">
          <cell r="B2" t="str">
            <v>NGA</v>
          </cell>
          <cell r="E2">
            <v>22.326907459867794</v>
          </cell>
        </row>
        <row r="3">
          <cell r="B3" t="str">
            <v>RGA</v>
          </cell>
          <cell r="E3">
            <v>6.6403576547675849</v>
          </cell>
        </row>
        <row r="4">
          <cell r="B4" t="str">
            <v>TGA</v>
          </cell>
          <cell r="E4">
            <v>47.222222222222229</v>
          </cell>
        </row>
        <row r="5">
          <cell r="B5" t="str">
            <v>LPG</v>
          </cell>
          <cell r="E5">
            <v>44.155057540884314</v>
          </cell>
        </row>
        <row r="6">
          <cell r="B6" t="str">
            <v>OIL</v>
          </cell>
          <cell r="E6">
            <v>10.63728291332543</v>
          </cell>
        </row>
        <row r="7">
          <cell r="B7" t="str">
            <v>GSL</v>
          </cell>
          <cell r="E7">
            <v>65.419326319823782</v>
          </cell>
        </row>
        <row r="8">
          <cell r="B8" t="str">
            <v>HFO</v>
          </cell>
          <cell r="E8">
            <v>13.28071530953517</v>
          </cell>
        </row>
        <row r="9">
          <cell r="B9" t="str">
            <v>DSL</v>
          </cell>
          <cell r="E9">
            <v>41.060677720850293</v>
          </cell>
        </row>
        <row r="10">
          <cell r="B10" t="str">
            <v>COA</v>
          </cell>
          <cell r="E10">
            <v>2.8621688572247468</v>
          </cell>
        </row>
        <row r="11">
          <cell r="B11" t="str">
            <v>PCK</v>
          </cell>
          <cell r="E11">
            <v>3.005277300085984</v>
          </cell>
        </row>
        <row r="12">
          <cell r="B12" t="str">
            <v>BMS</v>
          </cell>
          <cell r="E12">
            <v>13.32847643827696</v>
          </cell>
        </row>
        <row r="13">
          <cell r="B13" t="str">
            <v>BDS</v>
          </cell>
          <cell r="E13">
            <v>41.060677720850293</v>
          </cell>
        </row>
        <row r="14">
          <cell r="B14" t="str">
            <v>BEN</v>
          </cell>
          <cell r="E14">
            <v>49.06449473986784</v>
          </cell>
        </row>
        <row r="15">
          <cell r="B15" t="str">
            <v>URA</v>
          </cell>
          <cell r="E15">
            <v>0.85373489746139286</v>
          </cell>
        </row>
        <row r="16">
          <cell r="B16" t="str">
            <v>HYG</v>
          </cell>
          <cell r="E16">
            <v>65.752160650128403</v>
          </cell>
        </row>
        <row r="17">
          <cell r="E17">
            <v>72.759</v>
          </cell>
        </row>
        <row r="18">
          <cell r="E18">
            <v>65.621250000000003</v>
          </cell>
        </row>
        <row r="19">
          <cell r="B19" t="str">
            <v>EEE</v>
          </cell>
          <cell r="E19">
            <v>94.44</v>
          </cell>
        </row>
        <row r="20">
          <cell r="B20" t="str">
            <v>LNG</v>
          </cell>
          <cell r="E20">
            <v>38.454861111111107</v>
          </cell>
        </row>
        <row r="21">
          <cell r="B21" t="str">
            <v>CNG</v>
          </cell>
          <cell r="E21">
            <v>41.961503069798319</v>
          </cell>
        </row>
        <row r="22">
          <cell r="B22" t="str">
            <v>2MM</v>
          </cell>
          <cell r="E22">
            <v>0</v>
          </cell>
        </row>
        <row r="23">
          <cell r="B23" t="str">
            <v>3MM</v>
          </cell>
          <cell r="E23">
            <v>0</v>
          </cell>
        </row>
        <row r="24">
          <cell r="B24" t="str">
            <v>CFO</v>
          </cell>
          <cell r="E24">
            <v>0</v>
          </cell>
        </row>
        <row r="25">
          <cell r="B25" t="str">
            <v>NCH</v>
          </cell>
          <cell r="E25">
            <v>0</v>
          </cell>
        </row>
        <row r="26">
          <cell r="B26" t="str">
            <v>NCW</v>
          </cell>
          <cell r="E26">
            <v>0</v>
          </cell>
        </row>
        <row r="27">
          <cell r="B27" t="str">
            <v>NCC</v>
          </cell>
          <cell r="E27">
            <v>0</v>
          </cell>
        </row>
        <row r="28">
          <cell r="B28" t="str">
            <v>NCM</v>
          </cell>
          <cell r="E28">
            <v>0</v>
          </cell>
        </row>
        <row r="29">
          <cell r="B29" t="str">
            <v>NCI</v>
          </cell>
          <cell r="E29">
            <v>0</v>
          </cell>
        </row>
        <row r="30">
          <cell r="B30" t="str">
            <v>NCV</v>
          </cell>
          <cell r="E30">
            <v>0</v>
          </cell>
        </row>
        <row r="31">
          <cell r="B31" t="str">
            <v>NCT</v>
          </cell>
          <cell r="E31">
            <v>0</v>
          </cell>
        </row>
        <row r="32">
          <cell r="B32" t="str">
            <v>NCA</v>
          </cell>
          <cell r="E32">
            <v>0</v>
          </cell>
        </row>
        <row r="33">
          <cell r="B33" t="str">
            <v>NCF</v>
          </cell>
          <cell r="E33">
            <v>0</v>
          </cell>
        </row>
        <row r="34">
          <cell r="B34" t="str">
            <v>AGG</v>
          </cell>
          <cell r="E34">
            <v>0</v>
          </cell>
        </row>
        <row r="35">
          <cell r="B35" t="str">
            <v>WAG</v>
          </cell>
          <cell r="E35">
            <v>0</v>
          </cell>
        </row>
        <row r="36">
          <cell r="B36" t="str">
            <v>WSG</v>
          </cell>
          <cell r="E36">
            <v>0</v>
          </cell>
        </row>
        <row r="37">
          <cell r="B37" t="str">
            <v>LUF</v>
          </cell>
          <cell r="E37">
            <v>0</v>
          </cell>
        </row>
        <row r="39">
          <cell r="B39" t="str">
            <v>IMP-2</v>
          </cell>
          <cell r="E39">
            <v>94.44</v>
          </cell>
        </row>
        <row r="40">
          <cell r="B40" t="str">
            <v>H2 (KBR)</v>
          </cell>
          <cell r="E40">
            <v>72.759</v>
          </cell>
        </row>
        <row r="41">
          <cell r="B41" t="str">
            <v>H2 (McKinsey)</v>
          </cell>
          <cell r="E41">
            <v>65.621250000000003</v>
          </cell>
        </row>
        <row r="42">
          <cell r="B42" t="str">
            <v>IMP-3</v>
          </cell>
          <cell r="E42">
            <v>94.44</v>
          </cell>
        </row>
        <row r="43">
          <cell r="B43" t="str">
            <v>IMP-4</v>
          </cell>
          <cell r="E43">
            <v>97.22</v>
          </cell>
        </row>
        <row r="44">
          <cell r="E44">
            <v>2020</v>
          </cell>
        </row>
        <row r="45">
          <cell r="B45" t="str">
            <v>Supply</v>
          </cell>
          <cell r="E45">
            <v>26.120124000000001</v>
          </cell>
        </row>
        <row r="46">
          <cell r="B46" t="str">
            <v>Supply</v>
          </cell>
          <cell r="E46">
            <v>181.561100638417</v>
          </cell>
        </row>
      </sheetData>
      <sheetData sheetId="3"/>
      <sheetData sheetId="4">
        <row r="7">
          <cell r="K7" t="str">
            <v>COA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17D9-3F78-47B0-A7B6-1299527335C1}">
  <dimension ref="A1:AN55"/>
  <sheetViews>
    <sheetView topLeftCell="A2" zoomScale="41" zoomScaleNormal="100" workbookViewId="0">
      <selection activeCell="AE31" sqref="AE31"/>
    </sheetView>
  </sheetViews>
  <sheetFormatPr baseColWidth="10" defaultColWidth="8.83203125" defaultRowHeight="15" x14ac:dyDescent="0.2"/>
  <cols>
    <col min="2" max="2" width="11" customWidth="1"/>
    <col min="3" max="3" width="11.5" customWidth="1"/>
    <col min="4" max="4" width="16.33203125" customWidth="1"/>
    <col min="5" max="5" width="31.33203125" customWidth="1"/>
    <col min="6" max="6" width="12.5" customWidth="1"/>
    <col min="7" max="7" width="17.83203125" customWidth="1"/>
    <col min="8" max="8" width="20" customWidth="1"/>
    <col min="9" max="9" width="44.33203125" customWidth="1"/>
    <col min="10" max="10" width="6.6640625" customWidth="1"/>
    <col min="11" max="11" width="10.83203125" customWidth="1"/>
    <col min="12" max="12" width="15.33203125" customWidth="1"/>
    <col min="13" max="14" width="12.33203125" customWidth="1"/>
    <col min="15" max="15" width="18.5" bestFit="1" customWidth="1"/>
    <col min="17" max="17" width="21.5" bestFit="1" customWidth="1"/>
    <col min="18" max="18" width="29.83203125" bestFit="1" customWidth="1"/>
    <col min="19" max="19" width="22.83203125" bestFit="1" customWidth="1"/>
    <col min="20" max="20" width="22.5" bestFit="1" customWidth="1"/>
    <col min="21" max="21" width="17" customWidth="1"/>
    <col min="22" max="22" width="16.33203125" customWidth="1"/>
    <col min="23" max="23" width="25.33203125" bestFit="1" customWidth="1"/>
    <col min="24" max="25" width="25.33203125" customWidth="1"/>
    <col min="26" max="26" width="9" bestFit="1" customWidth="1"/>
    <col min="27" max="27" width="9" customWidth="1"/>
    <col min="28" max="28" width="15.6640625" bestFit="1" customWidth="1"/>
    <col min="29" max="29" width="27.1640625" bestFit="1" customWidth="1"/>
    <col min="30" max="31" width="27.1640625" customWidth="1"/>
    <col min="32" max="32" width="21.5" bestFit="1" customWidth="1"/>
    <col min="33" max="33" width="8.1640625" bestFit="1" customWidth="1"/>
    <col min="34" max="34" width="11.5" bestFit="1" customWidth="1"/>
    <col min="35" max="35" width="16.1640625" customWidth="1"/>
    <col min="36" max="36" width="18.5" customWidth="1"/>
    <col min="37" max="37" width="18.1640625" customWidth="1"/>
    <col min="38" max="38" width="20.83203125" bestFit="1" customWidth="1"/>
    <col min="39" max="39" width="33.5" bestFit="1" customWidth="1"/>
  </cols>
  <sheetData>
    <row r="1" spans="1:40" x14ac:dyDescent="0.2">
      <c r="B1" s="35" t="s">
        <v>0</v>
      </c>
      <c r="C1" s="35"/>
      <c r="D1" s="35"/>
      <c r="E1" s="35"/>
      <c r="F1" s="35"/>
      <c r="G1" s="2"/>
      <c r="H1" s="36" t="s">
        <v>1</v>
      </c>
      <c r="I1" s="36"/>
      <c r="J1" s="36"/>
      <c r="K1" s="36"/>
      <c r="L1" s="36"/>
      <c r="M1" s="36"/>
      <c r="N1" s="31"/>
      <c r="O1" s="38" t="s">
        <v>2</v>
      </c>
      <c r="P1" s="38"/>
      <c r="Q1" s="38"/>
      <c r="R1" s="38"/>
      <c r="S1" s="38"/>
      <c r="T1" s="38"/>
      <c r="U1" s="38"/>
      <c r="V1" s="38"/>
      <c r="W1" s="38"/>
      <c r="X1" s="29"/>
      <c r="Y1" s="29"/>
      <c r="Z1" s="36" t="s">
        <v>3</v>
      </c>
      <c r="AA1" s="36"/>
      <c r="AB1" s="36"/>
      <c r="AC1" s="36"/>
      <c r="AD1" s="36"/>
      <c r="AE1" s="36"/>
      <c r="AF1" s="36"/>
      <c r="AG1" s="37"/>
      <c r="AH1" s="42" t="s">
        <v>4</v>
      </c>
      <c r="AI1" s="43"/>
      <c r="AJ1" s="46" t="s">
        <v>5</v>
      </c>
      <c r="AK1" s="47"/>
      <c r="AL1" s="47"/>
      <c r="AM1" s="9"/>
    </row>
    <row r="2" spans="1:40" ht="48" x14ac:dyDescent="0.2">
      <c r="A2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4" t="s">
        <v>13</v>
      </c>
      <c r="I2" s="4" t="s">
        <v>14</v>
      </c>
      <c r="J2" s="4" t="s">
        <v>15</v>
      </c>
      <c r="K2" s="4" t="s">
        <v>16</v>
      </c>
      <c r="L2" s="4" t="s">
        <v>17</v>
      </c>
      <c r="M2" s="4" t="s">
        <v>18</v>
      </c>
      <c r="N2" s="34" t="s">
        <v>151</v>
      </c>
      <c r="O2" s="5" t="s">
        <v>19</v>
      </c>
      <c r="P2" s="5" t="s">
        <v>20</v>
      </c>
      <c r="Q2" s="5" t="s">
        <v>21</v>
      </c>
      <c r="R2" s="5" t="s">
        <v>22</v>
      </c>
      <c r="S2" s="5" t="s">
        <v>23</v>
      </c>
      <c r="T2" s="5" t="s">
        <v>24</v>
      </c>
      <c r="U2" s="5" t="s">
        <v>25</v>
      </c>
      <c r="V2" s="5" t="s">
        <v>26</v>
      </c>
      <c r="W2" s="5" t="s">
        <v>27</v>
      </c>
      <c r="X2" s="34" t="s">
        <v>125</v>
      </c>
      <c r="Y2" s="34" t="s">
        <v>126</v>
      </c>
      <c r="Z2" s="4" t="s">
        <v>28</v>
      </c>
      <c r="AA2" s="33" t="s">
        <v>124</v>
      </c>
      <c r="AB2" s="4" t="s">
        <v>29</v>
      </c>
      <c r="AC2" s="13" t="s">
        <v>30</v>
      </c>
      <c r="AD2" s="13"/>
      <c r="AE2" s="13"/>
      <c r="AF2" s="4" t="s">
        <v>96</v>
      </c>
      <c r="AG2" s="16" t="s">
        <v>31</v>
      </c>
      <c r="AH2" s="14" t="s">
        <v>32</v>
      </c>
      <c r="AI2" s="12" t="s">
        <v>33</v>
      </c>
      <c r="AJ2" s="48"/>
      <c r="AK2" s="49"/>
      <c r="AL2" s="49"/>
    </row>
    <row r="3" spans="1:40" x14ac:dyDescent="0.2">
      <c r="A3" t="s">
        <v>34</v>
      </c>
      <c r="B3" s="3"/>
      <c r="C3" s="3"/>
      <c r="D3" s="3"/>
      <c r="E3" s="3"/>
      <c r="F3" s="3"/>
      <c r="G3" s="3"/>
      <c r="H3" s="4"/>
      <c r="I3" s="4"/>
      <c r="J3" s="4"/>
      <c r="K3" s="4"/>
      <c r="L3" s="4"/>
      <c r="M3" s="4"/>
      <c r="N3" s="4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4"/>
      <c r="AA3" s="4"/>
      <c r="AB3" s="4"/>
      <c r="AC3" s="13"/>
      <c r="AD3" s="13"/>
      <c r="AE3" s="13"/>
      <c r="AF3" s="4"/>
      <c r="AG3" s="23"/>
      <c r="AH3" s="14"/>
      <c r="AI3" s="24" t="s">
        <v>102</v>
      </c>
      <c r="AJ3" s="17"/>
      <c r="AK3" s="20"/>
      <c r="AL3" s="20"/>
    </row>
    <row r="4" spans="1:40" hidden="1" x14ac:dyDescent="0.2">
      <c r="A4" t="s">
        <v>35</v>
      </c>
      <c r="B4" s="3" t="s">
        <v>36</v>
      </c>
      <c r="C4" s="3" t="s">
        <v>36</v>
      </c>
      <c r="D4" s="3" t="s">
        <v>37</v>
      </c>
      <c r="E4" s="3" t="s">
        <v>36</v>
      </c>
      <c r="F4" s="3" t="s">
        <v>36</v>
      </c>
      <c r="G4" s="3"/>
      <c r="H4" s="4" t="s">
        <v>38</v>
      </c>
      <c r="I4" s="4" t="s">
        <v>39</v>
      </c>
      <c r="J4" s="4" t="s">
        <v>40</v>
      </c>
      <c r="K4" s="4" t="s">
        <v>41</v>
      </c>
      <c r="L4" s="4" t="s">
        <v>17</v>
      </c>
      <c r="M4" s="4" t="s">
        <v>42</v>
      </c>
      <c r="N4" s="4"/>
      <c r="O4" s="39" t="s">
        <v>43</v>
      </c>
      <c r="P4" s="39"/>
      <c r="Q4" s="6"/>
      <c r="R4" s="39" t="s">
        <v>44</v>
      </c>
      <c r="S4" s="39"/>
      <c r="T4" s="39"/>
      <c r="U4" s="39"/>
      <c r="V4" s="39" t="s">
        <v>45</v>
      </c>
      <c r="W4" s="39"/>
      <c r="X4" s="6"/>
      <c r="Y4" s="6"/>
      <c r="Z4" s="40" t="s">
        <v>46</v>
      </c>
      <c r="AA4" s="40"/>
      <c r="AB4" s="40"/>
      <c r="AC4" s="40"/>
      <c r="AD4" s="40"/>
      <c r="AE4" s="40"/>
      <c r="AF4" s="40"/>
      <c r="AG4" s="41"/>
      <c r="AH4" s="44" t="s">
        <v>47</v>
      </c>
      <c r="AI4" s="45"/>
      <c r="AJ4" s="18" t="s">
        <v>48</v>
      </c>
      <c r="AK4" s="19" t="s">
        <v>49</v>
      </c>
      <c r="AL4" s="19" t="s">
        <v>32</v>
      </c>
    </row>
    <row r="5" spans="1:40" hidden="1" x14ac:dyDescent="0.2">
      <c r="A5" t="s">
        <v>50</v>
      </c>
      <c r="B5" s="3"/>
      <c r="C5" s="3"/>
      <c r="D5" s="3"/>
      <c r="E5" s="3"/>
      <c r="F5" s="3"/>
      <c r="G5" s="3"/>
      <c r="H5" s="4"/>
      <c r="I5" s="4"/>
      <c r="J5" s="4"/>
      <c r="K5" s="4"/>
      <c r="L5" s="4"/>
      <c r="M5" s="4"/>
      <c r="N5" s="4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7"/>
      <c r="AA5" s="7"/>
      <c r="AB5" s="7"/>
      <c r="AC5" s="7"/>
      <c r="AD5" s="7"/>
      <c r="AE5" s="7"/>
      <c r="AF5" s="7"/>
      <c r="AG5" s="11"/>
      <c r="AH5" s="21"/>
      <c r="AI5" s="22"/>
      <c r="AJ5" s="18"/>
      <c r="AK5" s="19"/>
      <c r="AL5" s="19"/>
    </row>
    <row r="6" spans="1:40" hidden="1" x14ac:dyDescent="0.2">
      <c r="A6" t="s">
        <v>51</v>
      </c>
      <c r="B6" s="3"/>
      <c r="C6" s="3"/>
      <c r="D6" s="3"/>
      <c r="E6" s="3"/>
      <c r="F6" s="3"/>
      <c r="G6" s="3"/>
      <c r="H6" s="4"/>
      <c r="I6" s="4"/>
      <c r="J6" s="4"/>
      <c r="K6" s="4"/>
      <c r="L6" s="4"/>
      <c r="M6" s="4"/>
      <c r="N6" s="4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7"/>
      <c r="AA6" s="7"/>
      <c r="AB6" s="7"/>
      <c r="AC6" s="7"/>
      <c r="AD6" s="7"/>
      <c r="AE6" s="7"/>
      <c r="AF6" s="7"/>
      <c r="AG6" s="11"/>
      <c r="AH6" s="21"/>
      <c r="AI6" s="22"/>
      <c r="AJ6" s="18"/>
      <c r="AK6" s="19"/>
      <c r="AL6" s="19"/>
    </row>
    <row r="7" spans="1:40" hidden="1" x14ac:dyDescent="0.2">
      <c r="A7" t="s">
        <v>52</v>
      </c>
      <c r="B7" s="3"/>
      <c r="C7" s="3"/>
      <c r="D7" s="3"/>
      <c r="E7" s="3"/>
      <c r="F7" s="3"/>
      <c r="G7" s="3"/>
      <c r="H7" s="4"/>
      <c r="I7" s="4"/>
      <c r="J7" s="4"/>
      <c r="K7" s="4"/>
      <c r="L7" s="4"/>
      <c r="M7" s="4"/>
      <c r="N7" s="4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7"/>
      <c r="AA7" s="7"/>
      <c r="AB7" s="7"/>
      <c r="AC7" s="7"/>
      <c r="AD7" s="7"/>
      <c r="AE7" s="7"/>
      <c r="AF7" s="7"/>
      <c r="AG7" s="11"/>
      <c r="AH7" s="21"/>
      <c r="AI7" s="22"/>
      <c r="AJ7" s="18"/>
      <c r="AK7" s="19"/>
      <c r="AL7" s="19"/>
    </row>
    <row r="8" spans="1:40" ht="96" x14ac:dyDescent="0.2">
      <c r="A8" t="s">
        <v>53</v>
      </c>
      <c r="B8" s="8" t="s">
        <v>36</v>
      </c>
      <c r="C8" s="8" t="s">
        <v>36</v>
      </c>
      <c r="D8" s="8" t="s">
        <v>54</v>
      </c>
      <c r="E8" s="8"/>
      <c r="F8" s="8" t="s">
        <v>36</v>
      </c>
      <c r="G8" s="8"/>
      <c r="H8" s="8" t="s">
        <v>55</v>
      </c>
      <c r="I8" s="8" t="s">
        <v>56</v>
      </c>
      <c r="J8" s="8" t="s">
        <v>57</v>
      </c>
      <c r="K8" s="8" t="s">
        <v>41</v>
      </c>
      <c r="L8" s="8" t="s">
        <v>58</v>
      </c>
      <c r="M8" s="8" t="s">
        <v>59</v>
      </c>
      <c r="N8" s="8"/>
      <c r="O8" s="8" t="s">
        <v>60</v>
      </c>
      <c r="P8" s="8" t="s">
        <v>61</v>
      </c>
      <c r="Q8" s="8" t="s">
        <v>62</v>
      </c>
      <c r="R8" s="8" t="s">
        <v>63</v>
      </c>
      <c r="S8" s="8" t="s">
        <v>64</v>
      </c>
      <c r="T8" s="8" t="s">
        <v>65</v>
      </c>
      <c r="U8" s="8" t="s">
        <v>66</v>
      </c>
      <c r="V8" s="8" t="s">
        <v>67</v>
      </c>
      <c r="W8" s="8" t="s">
        <v>68</v>
      </c>
      <c r="X8" s="8"/>
      <c r="Y8" s="8"/>
      <c r="Z8" s="8" t="s">
        <v>69</v>
      </c>
      <c r="AA8" s="8"/>
      <c r="AB8" s="8" t="s">
        <v>70</v>
      </c>
      <c r="AC8" s="8" t="s">
        <v>71</v>
      </c>
      <c r="AD8" s="32" t="s">
        <v>110</v>
      </c>
      <c r="AE8" s="8" t="s">
        <v>101</v>
      </c>
      <c r="AF8" s="8" t="s">
        <v>95</v>
      </c>
      <c r="AG8" s="8"/>
      <c r="AH8" s="10" t="s">
        <v>72</v>
      </c>
      <c r="AI8" s="10"/>
      <c r="AJ8" s="15" t="s">
        <v>73</v>
      </c>
      <c r="AK8" s="15" t="s">
        <v>74</v>
      </c>
      <c r="AL8" s="15" t="s">
        <v>75</v>
      </c>
    </row>
    <row r="9" spans="1:40" ht="32" x14ac:dyDescent="0.2">
      <c r="A9" t="s">
        <v>76</v>
      </c>
      <c r="B9" s="8"/>
      <c r="C9" s="8"/>
      <c r="D9" s="8"/>
      <c r="E9" s="8"/>
      <c r="F9" s="8"/>
      <c r="G9" s="8"/>
      <c r="H9" s="8"/>
      <c r="I9" s="8"/>
      <c r="J9" s="8"/>
      <c r="K9" s="8"/>
      <c r="L9" s="8" t="s">
        <v>77</v>
      </c>
      <c r="M9" s="8"/>
      <c r="N9" s="8"/>
      <c r="O9" s="8"/>
      <c r="P9" s="8"/>
      <c r="Q9" s="8"/>
      <c r="R9" s="50" t="s">
        <v>78</v>
      </c>
      <c r="S9" s="50"/>
      <c r="T9" s="51" t="s">
        <v>79</v>
      </c>
      <c r="U9" s="52"/>
      <c r="V9" s="51" t="s">
        <v>80</v>
      </c>
      <c r="W9" s="52"/>
      <c r="X9" s="30"/>
      <c r="Y9" s="30"/>
      <c r="Z9" s="8"/>
      <c r="AA9" s="8"/>
      <c r="AB9" s="25" t="s">
        <v>99</v>
      </c>
      <c r="AC9" s="8"/>
      <c r="AD9" s="8"/>
      <c r="AE9" s="8"/>
      <c r="AF9" s="8"/>
      <c r="AG9" s="8" t="s">
        <v>81</v>
      </c>
      <c r="AH9" s="10"/>
      <c r="AI9" s="10"/>
      <c r="AJ9" s="8"/>
      <c r="AK9" s="8"/>
      <c r="AL9" s="8" t="s">
        <v>81</v>
      </c>
    </row>
    <row r="10" spans="1:40" s="26" customFormat="1" x14ac:dyDescent="0.2">
      <c r="A10" t="s">
        <v>82</v>
      </c>
      <c r="B10" t="s">
        <v>83</v>
      </c>
      <c r="C10" t="s">
        <v>84</v>
      </c>
      <c r="D10" t="s">
        <v>85</v>
      </c>
      <c r="E10" t="s">
        <v>86</v>
      </c>
      <c r="F10" t="s">
        <v>84</v>
      </c>
      <c r="G10" t="s">
        <v>100</v>
      </c>
      <c r="H10" t="s">
        <v>87</v>
      </c>
      <c r="I10" t="s">
        <v>88</v>
      </c>
      <c r="J10" t="s">
        <v>89</v>
      </c>
      <c r="K10" s="27">
        <v>2018</v>
      </c>
      <c r="L10">
        <v>2018</v>
      </c>
      <c r="M10">
        <v>25</v>
      </c>
      <c r="N10"/>
      <c r="O10">
        <v>56.1</v>
      </c>
      <c r="P10" t="s">
        <v>61</v>
      </c>
      <c r="Q10" t="s">
        <v>90</v>
      </c>
      <c r="R10">
        <v>1572.78303799792</v>
      </c>
      <c r="S10" t="s">
        <v>91</v>
      </c>
      <c r="T10">
        <v>51.877102054425698</v>
      </c>
      <c r="U10" t="s">
        <v>92</v>
      </c>
      <c r="V10">
        <v>1.9273243107603</v>
      </c>
      <c r="W10" t="s">
        <v>93</v>
      </c>
      <c r="X10"/>
      <c r="Y10"/>
      <c r="Z10">
        <v>0.49700060137072799</v>
      </c>
      <c r="AA10"/>
      <c r="AB10">
        <v>1</v>
      </c>
      <c r="AC10" t="s">
        <v>94</v>
      </c>
      <c r="AD10"/>
      <c r="AE10"/>
      <c r="AF10">
        <v>0.8</v>
      </c>
      <c r="AG10">
        <v>2.01207</v>
      </c>
      <c r="AH10" s="27">
        <v>9952.9</v>
      </c>
      <c r="AI10" t="s">
        <v>97</v>
      </c>
      <c r="AJ10"/>
      <c r="AK10"/>
      <c r="AL10"/>
      <c r="AM10"/>
      <c r="AN10"/>
    </row>
    <row r="11" spans="1:40" s="26" customFormat="1" x14ac:dyDescent="0.2">
      <c r="A11" t="s">
        <v>82</v>
      </c>
      <c r="B11" t="s">
        <v>83</v>
      </c>
      <c r="C11" t="s">
        <v>84</v>
      </c>
      <c r="D11" t="s">
        <v>85</v>
      </c>
      <c r="E11" t="s">
        <v>86</v>
      </c>
      <c r="F11" t="s">
        <v>84</v>
      </c>
      <c r="G11" t="s">
        <v>100</v>
      </c>
      <c r="H11" t="s">
        <v>87</v>
      </c>
      <c r="I11" t="s">
        <v>88</v>
      </c>
      <c r="J11" t="s">
        <v>89</v>
      </c>
      <c r="K11" s="27">
        <v>2024</v>
      </c>
      <c r="L11">
        <v>2018</v>
      </c>
      <c r="M11">
        <v>25</v>
      </c>
      <c r="N11"/>
      <c r="O11">
        <v>56.1</v>
      </c>
      <c r="P11" t="s">
        <v>61</v>
      </c>
      <c r="Q11" t="s">
        <v>90</v>
      </c>
      <c r="R11">
        <v>1572.78303799792</v>
      </c>
      <c r="S11" t="s">
        <v>91</v>
      </c>
      <c r="T11">
        <v>51.877102054425698</v>
      </c>
      <c r="U11" t="s">
        <v>92</v>
      </c>
      <c r="V11">
        <v>1.9273243107603</v>
      </c>
      <c r="W11" t="s">
        <v>93</v>
      </c>
      <c r="X11"/>
      <c r="Y11"/>
      <c r="Z11">
        <v>0.49700060137072799</v>
      </c>
      <c r="AA11"/>
      <c r="AB11">
        <v>1</v>
      </c>
      <c r="AC11" t="s">
        <v>94</v>
      </c>
      <c r="AD11"/>
      <c r="AE11"/>
      <c r="AF11">
        <v>0.8</v>
      </c>
      <c r="AG11">
        <v>2.01207</v>
      </c>
      <c r="AH11" s="27">
        <v>9920.4</v>
      </c>
      <c r="AI11" t="s">
        <v>97</v>
      </c>
      <c r="AJ11"/>
      <c r="AK11"/>
      <c r="AL11"/>
      <c r="AM11"/>
      <c r="AN11"/>
    </row>
    <row r="12" spans="1:40" s="26" customFormat="1" x14ac:dyDescent="0.2">
      <c r="A12"/>
      <c r="B12"/>
      <c r="C12"/>
      <c r="D12"/>
      <c r="E12"/>
      <c r="F12"/>
      <c r="G12"/>
      <c r="H12"/>
      <c r="I12"/>
      <c r="J12"/>
      <c r="K12" s="27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 s="27"/>
      <c r="AI12"/>
      <c r="AJ12"/>
      <c r="AK12"/>
      <c r="AL12"/>
      <c r="AM12"/>
      <c r="AN12"/>
    </row>
    <row r="13" spans="1:40" s="26" customFormat="1" x14ac:dyDescent="0.2">
      <c r="A13"/>
      <c r="B13"/>
      <c r="C13"/>
      <c r="D13"/>
      <c r="E13"/>
      <c r="F13"/>
      <c r="G13"/>
      <c r="H13"/>
      <c r="I13"/>
      <c r="J13"/>
      <c r="K13" s="27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 s="27"/>
      <c r="AI13"/>
      <c r="AJ13"/>
      <c r="AK13"/>
      <c r="AL13"/>
      <c r="AM13"/>
      <c r="AN13"/>
    </row>
    <row r="14" spans="1:40" s="26" customFormat="1" x14ac:dyDescent="0.2">
      <c r="A14"/>
      <c r="B14"/>
      <c r="C14"/>
      <c r="D14"/>
      <c r="E14"/>
      <c r="F14"/>
      <c r="G14"/>
      <c r="H14"/>
      <c r="I14"/>
      <c r="J14"/>
      <c r="K14" s="27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 s="27"/>
      <c r="AI14"/>
      <c r="AJ14"/>
      <c r="AK14"/>
      <c r="AL14"/>
      <c r="AM14"/>
      <c r="AN14"/>
    </row>
    <row r="15" spans="1:40" s="26" customFormat="1" x14ac:dyDescent="0.2">
      <c r="A15"/>
      <c r="B15"/>
      <c r="C15"/>
      <c r="D15"/>
      <c r="E15"/>
      <c r="F15"/>
      <c r="G15"/>
      <c r="H15"/>
      <c r="I15"/>
      <c r="J15"/>
      <c r="K15" s="27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 s="27"/>
      <c r="AI15"/>
      <c r="AJ15"/>
      <c r="AK15"/>
      <c r="AL15"/>
      <c r="AM15"/>
      <c r="AN15"/>
    </row>
    <row r="16" spans="1:40" s="26" customFormat="1" x14ac:dyDescent="0.2">
      <c r="A16"/>
      <c r="B16"/>
      <c r="C16"/>
      <c r="D16"/>
      <c r="E16"/>
      <c r="F16"/>
      <c r="G16"/>
      <c r="H16"/>
      <c r="I16"/>
      <c r="J16"/>
      <c r="K16" s="27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 s="27"/>
      <c r="AI16"/>
      <c r="AJ16"/>
      <c r="AK16"/>
      <c r="AL16"/>
      <c r="AM16"/>
      <c r="AN16"/>
    </row>
    <row r="17" spans="1:40" s="26" customFormat="1" x14ac:dyDescent="0.2">
      <c r="A17"/>
      <c r="B17"/>
      <c r="C17"/>
      <c r="D17"/>
      <c r="E17"/>
      <c r="F17"/>
      <c r="G17"/>
      <c r="H17"/>
      <c r="I17"/>
      <c r="J17"/>
      <c r="K17" s="2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 s="27"/>
      <c r="AI17"/>
      <c r="AJ17"/>
      <c r="AK17"/>
      <c r="AL17"/>
      <c r="AM17"/>
      <c r="AN17"/>
    </row>
    <row r="18" spans="1:40" s="26" customFormat="1" x14ac:dyDescent="0.2">
      <c r="A18"/>
      <c r="B18"/>
      <c r="C18"/>
      <c r="D18"/>
      <c r="E18"/>
      <c r="F18"/>
      <c r="G18"/>
      <c r="H18"/>
      <c r="I18"/>
      <c r="J18"/>
      <c r="K18" s="27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 s="27"/>
      <c r="AI18"/>
      <c r="AJ18"/>
      <c r="AK18"/>
      <c r="AL18"/>
      <c r="AM18"/>
      <c r="AN18"/>
    </row>
    <row r="19" spans="1:40" s="26" customFormat="1" x14ac:dyDescent="0.2">
      <c r="A19"/>
      <c r="B19"/>
      <c r="C19"/>
      <c r="D19"/>
      <c r="E19"/>
      <c r="F19"/>
      <c r="G19"/>
      <c r="H19"/>
      <c r="I19"/>
      <c r="J19"/>
      <c r="K19" s="27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 s="27"/>
      <c r="AI19"/>
      <c r="AJ19"/>
      <c r="AK19"/>
      <c r="AL19"/>
      <c r="AM19"/>
      <c r="AN19"/>
    </row>
    <row r="20" spans="1:40" x14ac:dyDescent="0.2"/>
    <row r="21" spans="1:40" x14ac:dyDescent="0.2"/>
    <row r="22" spans="1:40" s="26" customFormat="1" x14ac:dyDescent="0.2">
      <c r="A22"/>
      <c r="B22"/>
      <c r="C22"/>
      <c r="D22"/>
      <c r="E22"/>
      <c r="F22"/>
      <c r="G22"/>
      <c r="H22"/>
      <c r="I22"/>
      <c r="J22"/>
      <c r="K22" s="27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 s="27"/>
      <c r="AI22"/>
      <c r="AJ22"/>
      <c r="AK22"/>
      <c r="AL22"/>
      <c r="AM22"/>
      <c r="AN22"/>
    </row>
    <row r="23" spans="1:40" s="26" customFormat="1" x14ac:dyDescent="0.2">
      <c r="A23"/>
      <c r="B23"/>
      <c r="C23"/>
      <c r="D23"/>
      <c r="E23"/>
      <c r="F23"/>
      <c r="G23"/>
      <c r="H23"/>
      <c r="I23"/>
      <c r="J23"/>
      <c r="K23" s="27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 s="27"/>
      <c r="AI23"/>
      <c r="AJ23"/>
      <c r="AK23"/>
      <c r="AL23"/>
      <c r="AM23"/>
      <c r="AN23"/>
    </row>
    <row r="26" spans="1:40" x14ac:dyDescent="0.2">
      <c r="E26" s="9"/>
      <c r="G26" s="26"/>
      <c r="K26" s="27"/>
      <c r="R26" s="27"/>
      <c r="T26" s="27"/>
      <c r="AB26" s="9"/>
      <c r="AC26" s="9"/>
      <c r="AD26" s="9"/>
      <c r="AE26" s="9"/>
      <c r="AK26" s="27"/>
    </row>
    <row r="27" spans="1:40" x14ac:dyDescent="0.2">
      <c r="E27" s="9"/>
      <c r="G27" s="26"/>
      <c r="K27" s="27"/>
      <c r="R27" s="27"/>
      <c r="T27" s="27"/>
      <c r="AB27" s="9"/>
      <c r="AC27" s="9"/>
      <c r="AD27" s="9"/>
      <c r="AE27" s="9"/>
      <c r="AK27" s="27"/>
    </row>
    <row r="28" spans="1:40" x14ac:dyDescent="0.2">
      <c r="E28" s="9"/>
      <c r="G28" s="26"/>
      <c r="K28" s="27"/>
      <c r="R28" s="27"/>
      <c r="T28" s="27"/>
      <c r="AB28" s="9"/>
      <c r="AC28" s="9"/>
      <c r="AD28" s="9"/>
      <c r="AE28" s="9"/>
      <c r="AK28" s="27"/>
    </row>
    <row r="29" spans="1:40" x14ac:dyDescent="0.2">
      <c r="E29" s="9"/>
      <c r="G29" s="26"/>
      <c r="K29" s="27"/>
      <c r="R29" s="27"/>
      <c r="T29" s="27"/>
      <c r="AB29" s="9"/>
      <c r="AC29" s="9"/>
      <c r="AD29" s="9"/>
      <c r="AE29" s="9"/>
      <c r="AK29" s="27"/>
    </row>
    <row r="30" spans="1:40" x14ac:dyDescent="0.2">
      <c r="E30" s="9"/>
      <c r="G30" s="26"/>
    </row>
    <row r="31" spans="1:40" x14ac:dyDescent="0.2">
      <c r="E31" s="9"/>
      <c r="G31" s="26"/>
    </row>
    <row r="32" spans="1:40" x14ac:dyDescent="0.2">
      <c r="E32" s="9"/>
      <c r="G32" s="26"/>
      <c r="K32" s="27"/>
      <c r="R32" s="27"/>
      <c r="T32" s="27"/>
    </row>
    <row r="33" spans="5:31" x14ac:dyDescent="0.2">
      <c r="E33" s="9"/>
      <c r="G33" s="26"/>
      <c r="K33" s="27"/>
      <c r="R33" s="27"/>
      <c r="T33" s="27"/>
    </row>
    <row r="34" spans="5:31" x14ac:dyDescent="0.2">
      <c r="E34" s="9"/>
      <c r="G34" s="26"/>
      <c r="K34" s="27"/>
      <c r="R34" s="27"/>
      <c r="T34" s="27"/>
    </row>
    <row r="35" spans="5:31" x14ac:dyDescent="0.2">
      <c r="E35" s="9"/>
      <c r="G35" s="26"/>
      <c r="K35" s="27"/>
      <c r="R35" s="27"/>
      <c r="T35" s="27"/>
    </row>
    <row r="36" spans="5:31" x14ac:dyDescent="0.2">
      <c r="E36" s="9"/>
      <c r="G36" s="26"/>
      <c r="K36" s="28"/>
      <c r="R36" s="28"/>
      <c r="T36" s="28"/>
      <c r="AB36" s="1"/>
      <c r="AC36" s="1"/>
      <c r="AD36" s="1"/>
      <c r="AE36" s="1"/>
    </row>
    <row r="37" spans="5:31" x14ac:dyDescent="0.2">
      <c r="E37" s="9"/>
      <c r="G37" s="26"/>
      <c r="K37" s="28"/>
      <c r="R37" s="28"/>
      <c r="T37" s="28"/>
      <c r="AB37" s="1"/>
      <c r="AC37" s="1"/>
      <c r="AD37" s="1"/>
      <c r="AE37" s="1"/>
    </row>
    <row r="38" spans="5:31" x14ac:dyDescent="0.2">
      <c r="E38" s="9"/>
      <c r="G38" s="26"/>
      <c r="K38" s="28"/>
      <c r="R38" s="28"/>
      <c r="T38" s="28"/>
      <c r="AB38" s="1"/>
      <c r="AC38" s="1"/>
      <c r="AD38" s="1"/>
      <c r="AE38" s="1"/>
    </row>
    <row r="39" spans="5:31" x14ac:dyDescent="0.2">
      <c r="E39" s="9"/>
      <c r="G39" s="26"/>
      <c r="K39" s="28"/>
      <c r="R39" s="28"/>
      <c r="T39" s="28"/>
      <c r="AB39" s="1"/>
      <c r="AC39" s="1"/>
      <c r="AD39" s="1"/>
      <c r="AE39" s="1"/>
    </row>
    <row r="40" spans="5:31" x14ac:dyDescent="0.2">
      <c r="E40" s="9"/>
      <c r="G40" s="26"/>
      <c r="K40" s="27"/>
      <c r="R40" s="27"/>
      <c r="T40" s="27"/>
    </row>
    <row r="41" spans="5:31" x14ac:dyDescent="0.2">
      <c r="E41" s="9"/>
      <c r="G41" s="26"/>
      <c r="K41" s="27"/>
      <c r="R41" s="27"/>
      <c r="T41" s="27"/>
    </row>
    <row r="42" spans="5:31" x14ac:dyDescent="0.2">
      <c r="E42" s="9"/>
      <c r="G42" s="26"/>
      <c r="K42" s="27"/>
      <c r="R42" s="27"/>
      <c r="T42" s="27"/>
    </row>
    <row r="43" spans="5:31" x14ac:dyDescent="0.2">
      <c r="E43" s="9"/>
      <c r="G43" s="26"/>
      <c r="K43" s="27"/>
      <c r="R43" s="27"/>
      <c r="T43" s="27"/>
    </row>
    <row r="44" spans="5:31" x14ac:dyDescent="0.2">
      <c r="E44" s="9"/>
      <c r="G44" s="26"/>
      <c r="K44" s="28"/>
      <c r="R44" s="28"/>
      <c r="T44" s="28"/>
    </row>
    <row r="45" spans="5:31" x14ac:dyDescent="0.2">
      <c r="E45" s="9"/>
      <c r="G45" s="26"/>
      <c r="K45" s="28"/>
      <c r="R45" s="28"/>
      <c r="T45" s="28"/>
    </row>
    <row r="46" spans="5:31" x14ac:dyDescent="0.2">
      <c r="E46" s="9"/>
      <c r="G46" s="26"/>
      <c r="K46" s="28"/>
      <c r="R46" s="28"/>
      <c r="T46" s="28"/>
    </row>
    <row r="47" spans="5:31" x14ac:dyDescent="0.2">
      <c r="E47" s="9"/>
      <c r="G47" s="26"/>
      <c r="K47" s="28"/>
      <c r="R47" s="28"/>
      <c r="T47" s="28"/>
    </row>
    <row r="48" spans="5:31" x14ac:dyDescent="0.2">
      <c r="E48" s="9"/>
      <c r="G48" s="26"/>
      <c r="K48" s="27"/>
      <c r="R48" s="27"/>
      <c r="T48" s="27"/>
    </row>
    <row r="49" spans="5:20" x14ac:dyDescent="0.2">
      <c r="E49" s="9"/>
      <c r="G49" s="26"/>
      <c r="K49" s="27"/>
      <c r="R49" s="27"/>
      <c r="T49" s="27"/>
    </row>
    <row r="50" spans="5:20" x14ac:dyDescent="0.2">
      <c r="E50" s="9"/>
      <c r="G50" s="26"/>
      <c r="K50" s="27"/>
      <c r="R50" s="27"/>
      <c r="T50" s="27"/>
    </row>
    <row r="51" spans="5:20" x14ac:dyDescent="0.2">
      <c r="E51" s="9"/>
      <c r="G51" s="26"/>
      <c r="K51" s="27"/>
      <c r="R51" s="27"/>
      <c r="T51" s="27"/>
    </row>
    <row r="52" spans="5:20" x14ac:dyDescent="0.2">
      <c r="E52" s="9"/>
      <c r="G52" s="26"/>
      <c r="K52" s="28"/>
      <c r="R52" s="28"/>
      <c r="T52" s="28"/>
    </row>
    <row r="53" spans="5:20" x14ac:dyDescent="0.2">
      <c r="E53" s="9"/>
      <c r="G53" s="26"/>
      <c r="K53" s="28"/>
      <c r="R53" s="28"/>
      <c r="T53" s="28"/>
    </row>
    <row r="54" spans="5:20" x14ac:dyDescent="0.2">
      <c r="E54" s="9"/>
      <c r="G54" s="26"/>
      <c r="K54" s="28"/>
      <c r="R54" s="28"/>
      <c r="T54" s="28"/>
    </row>
    <row r="55" spans="5:20" x14ac:dyDescent="0.2">
      <c r="E55" s="9"/>
      <c r="G55" s="26"/>
      <c r="K55" s="28"/>
      <c r="R55" s="28"/>
      <c r="T55" s="28"/>
    </row>
  </sheetData>
  <mergeCells count="14">
    <mergeCell ref="AH1:AI1"/>
    <mergeCell ref="AH4:AI4"/>
    <mergeCell ref="AJ1:AL2"/>
    <mergeCell ref="R9:S9"/>
    <mergeCell ref="T9:U9"/>
    <mergeCell ref="V9:W9"/>
    <mergeCell ref="B1:F1"/>
    <mergeCell ref="H1:M1"/>
    <mergeCell ref="Z1:AG1"/>
    <mergeCell ref="O1:W1"/>
    <mergeCell ref="O4:P4"/>
    <mergeCell ref="R4:U4"/>
    <mergeCell ref="V4:W4"/>
    <mergeCell ref="Z4:AG4"/>
  </mergeCells>
  <phoneticPr fontId="8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F9D33-AE10-48B7-B259-C14C65AB430A}">
  <dimension ref="A1:AN21"/>
  <sheetViews>
    <sheetView topLeftCell="D1" zoomScale="80" zoomScaleNormal="80" workbookViewId="0">
      <selection activeCell="N2" sqref="N2"/>
    </sheetView>
  </sheetViews>
  <sheetFormatPr baseColWidth="10" defaultColWidth="8.83203125" defaultRowHeight="15" x14ac:dyDescent="0.2"/>
  <cols>
    <col min="2" max="2" width="11" customWidth="1"/>
    <col min="3" max="3" width="11.5" customWidth="1"/>
    <col min="4" max="4" width="16.33203125" customWidth="1"/>
    <col min="5" max="5" width="31.33203125" customWidth="1"/>
    <col min="6" max="6" width="12.5" customWidth="1"/>
    <col min="7" max="7" width="17.83203125" customWidth="1"/>
    <col min="8" max="8" width="20" customWidth="1"/>
    <col min="9" max="9" width="44.33203125" customWidth="1"/>
    <col min="10" max="10" width="6.6640625" customWidth="1"/>
    <col min="11" max="11" width="10.83203125" customWidth="1"/>
    <col min="12" max="12" width="15.33203125" customWidth="1"/>
    <col min="13" max="14" width="12.33203125" customWidth="1"/>
    <col min="15" max="15" width="18.5" bestFit="1" customWidth="1"/>
    <col min="17" max="17" width="21.5" bestFit="1" customWidth="1"/>
    <col min="18" max="18" width="29.83203125" bestFit="1" customWidth="1"/>
    <col min="19" max="19" width="22.83203125" bestFit="1" customWidth="1"/>
    <col min="20" max="20" width="22.5" bestFit="1" customWidth="1"/>
    <col min="21" max="21" width="17" customWidth="1"/>
    <col min="22" max="22" width="16.33203125" customWidth="1"/>
    <col min="23" max="23" width="25.33203125" bestFit="1" customWidth="1"/>
    <col min="24" max="25" width="25.33203125" customWidth="1"/>
    <col min="26" max="26" width="9" bestFit="1" customWidth="1"/>
    <col min="27" max="27" width="9" customWidth="1"/>
    <col min="28" max="28" width="15.6640625" bestFit="1" customWidth="1"/>
    <col min="29" max="29" width="27.1640625" bestFit="1" customWidth="1"/>
    <col min="30" max="30" width="18.1640625" customWidth="1"/>
    <col min="31" max="31" width="27.1640625" customWidth="1"/>
    <col min="32" max="32" width="21.5" bestFit="1" customWidth="1"/>
    <col min="33" max="33" width="8.1640625" bestFit="1" customWidth="1"/>
    <col min="34" max="34" width="11.5" bestFit="1" customWidth="1"/>
    <col min="35" max="35" width="16.1640625" customWidth="1"/>
    <col min="36" max="36" width="18.5" customWidth="1"/>
    <col min="37" max="37" width="18.1640625" customWidth="1"/>
    <col min="38" max="38" width="20.83203125" bestFit="1" customWidth="1"/>
    <col min="39" max="39" width="33.5" bestFit="1" customWidth="1"/>
  </cols>
  <sheetData>
    <row r="1" spans="1:40" x14ac:dyDescent="0.2">
      <c r="B1" s="35" t="s">
        <v>0</v>
      </c>
      <c r="C1" s="35"/>
      <c r="D1" s="35"/>
      <c r="E1" s="35"/>
      <c r="F1" s="35"/>
      <c r="G1" s="2"/>
      <c r="H1" s="36" t="s">
        <v>1</v>
      </c>
      <c r="I1" s="36"/>
      <c r="J1" s="36"/>
      <c r="K1" s="36"/>
      <c r="L1" s="36"/>
      <c r="M1" s="36"/>
      <c r="N1" s="31"/>
      <c r="O1" s="38" t="s">
        <v>2</v>
      </c>
      <c r="P1" s="38"/>
      <c r="Q1" s="38"/>
      <c r="R1" s="38"/>
      <c r="S1" s="38"/>
      <c r="T1" s="38"/>
      <c r="U1" s="38"/>
      <c r="V1" s="38"/>
      <c r="W1" s="38"/>
      <c r="X1" s="29"/>
      <c r="Y1" s="29"/>
      <c r="Z1" s="36" t="s">
        <v>3</v>
      </c>
      <c r="AA1" s="36"/>
      <c r="AB1" s="36"/>
      <c r="AC1" s="36"/>
      <c r="AD1" s="36"/>
      <c r="AE1" s="36"/>
      <c r="AF1" s="36"/>
      <c r="AG1" s="37"/>
      <c r="AH1" s="42" t="s">
        <v>4</v>
      </c>
      <c r="AI1" s="43"/>
      <c r="AJ1" s="46" t="s">
        <v>5</v>
      </c>
      <c r="AK1" s="47"/>
      <c r="AL1" s="47"/>
      <c r="AM1" s="9"/>
    </row>
    <row r="2" spans="1:40" ht="48" x14ac:dyDescent="0.2">
      <c r="A2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4" t="s">
        <v>13</v>
      </c>
      <c r="I2" s="4" t="s">
        <v>14</v>
      </c>
      <c r="J2" s="4" t="s">
        <v>15</v>
      </c>
      <c r="K2" s="4" t="s">
        <v>16</v>
      </c>
      <c r="L2" s="4" t="s">
        <v>17</v>
      </c>
      <c r="M2" s="4" t="s">
        <v>18</v>
      </c>
      <c r="N2" s="34" t="s">
        <v>151</v>
      </c>
      <c r="O2" s="5" t="s">
        <v>19</v>
      </c>
      <c r="P2" s="5" t="s">
        <v>20</v>
      </c>
      <c r="Q2" s="5" t="s">
        <v>21</v>
      </c>
      <c r="R2" s="5" t="s">
        <v>22</v>
      </c>
      <c r="S2" s="5" t="s">
        <v>23</v>
      </c>
      <c r="T2" s="5" t="s">
        <v>24</v>
      </c>
      <c r="U2" s="5" t="s">
        <v>25</v>
      </c>
      <c r="V2" s="5" t="s">
        <v>26</v>
      </c>
      <c r="W2" s="5" t="s">
        <v>27</v>
      </c>
      <c r="X2" s="34" t="s">
        <v>125</v>
      </c>
      <c r="Y2" s="34" t="s">
        <v>126</v>
      </c>
      <c r="Z2" s="4" t="s">
        <v>28</v>
      </c>
      <c r="AA2" s="33" t="s">
        <v>124</v>
      </c>
      <c r="AB2" s="4" t="s">
        <v>29</v>
      </c>
      <c r="AC2" s="13" t="s">
        <v>30</v>
      </c>
      <c r="AD2" s="13"/>
      <c r="AE2" s="13"/>
      <c r="AF2" s="4" t="s">
        <v>96</v>
      </c>
      <c r="AG2" s="16" t="s">
        <v>31</v>
      </c>
      <c r="AH2" s="14" t="s">
        <v>32</v>
      </c>
      <c r="AI2" s="12" t="s">
        <v>33</v>
      </c>
      <c r="AJ2" s="48"/>
      <c r="AK2" s="49"/>
      <c r="AL2" s="49"/>
    </row>
    <row r="3" spans="1:40" x14ac:dyDescent="0.2">
      <c r="A3" t="s">
        <v>34</v>
      </c>
      <c r="B3" s="3"/>
      <c r="C3" s="3"/>
      <c r="D3" s="3"/>
      <c r="E3" s="3"/>
      <c r="F3" s="3"/>
      <c r="G3" s="3"/>
      <c r="H3" s="4"/>
      <c r="I3" s="4"/>
      <c r="J3" s="4"/>
      <c r="K3" s="4"/>
      <c r="L3" s="4"/>
      <c r="M3" s="4"/>
      <c r="N3" s="4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4"/>
      <c r="AA3" s="4"/>
      <c r="AB3" s="4"/>
      <c r="AC3" s="13"/>
      <c r="AD3" s="13"/>
      <c r="AE3" s="13"/>
      <c r="AF3" s="4"/>
      <c r="AG3" s="23"/>
      <c r="AH3" s="14"/>
      <c r="AI3" s="24" t="s">
        <v>102</v>
      </c>
      <c r="AJ3" s="17"/>
      <c r="AK3" s="20"/>
      <c r="AL3" s="20"/>
    </row>
    <row r="4" spans="1:40" hidden="1" x14ac:dyDescent="0.2">
      <c r="A4" t="s">
        <v>35</v>
      </c>
      <c r="B4" s="3" t="s">
        <v>36</v>
      </c>
      <c r="C4" s="3" t="s">
        <v>36</v>
      </c>
      <c r="D4" s="3" t="s">
        <v>37</v>
      </c>
      <c r="E4" s="3" t="s">
        <v>36</v>
      </c>
      <c r="F4" s="3" t="s">
        <v>36</v>
      </c>
      <c r="G4" s="3"/>
      <c r="H4" s="4" t="s">
        <v>38</v>
      </c>
      <c r="I4" s="4" t="s">
        <v>39</v>
      </c>
      <c r="J4" s="4" t="s">
        <v>40</v>
      </c>
      <c r="K4" s="4" t="s">
        <v>41</v>
      </c>
      <c r="L4" s="4" t="s">
        <v>17</v>
      </c>
      <c r="M4" s="4" t="s">
        <v>42</v>
      </c>
      <c r="N4" s="4"/>
      <c r="O4" s="39" t="s">
        <v>43</v>
      </c>
      <c r="P4" s="39"/>
      <c r="Q4" s="6"/>
      <c r="R4" s="39" t="s">
        <v>44</v>
      </c>
      <c r="S4" s="39"/>
      <c r="T4" s="39"/>
      <c r="U4" s="39"/>
      <c r="V4" s="39" t="s">
        <v>45</v>
      </c>
      <c r="W4" s="39"/>
      <c r="X4" s="6"/>
      <c r="Y4" s="6"/>
      <c r="Z4" s="40" t="s">
        <v>46</v>
      </c>
      <c r="AA4" s="40"/>
      <c r="AB4" s="40"/>
      <c r="AC4" s="40"/>
      <c r="AD4" s="40"/>
      <c r="AE4" s="40"/>
      <c r="AF4" s="40"/>
      <c r="AG4" s="41"/>
      <c r="AH4" s="44" t="s">
        <v>47</v>
      </c>
      <c r="AI4" s="45"/>
      <c r="AJ4" s="18" t="s">
        <v>48</v>
      </c>
      <c r="AK4" s="19" t="s">
        <v>49</v>
      </c>
      <c r="AL4" s="19" t="s">
        <v>32</v>
      </c>
    </row>
    <row r="5" spans="1:40" hidden="1" x14ac:dyDescent="0.2">
      <c r="A5" t="s">
        <v>50</v>
      </c>
      <c r="B5" s="3"/>
      <c r="C5" s="3"/>
      <c r="D5" s="3"/>
      <c r="E5" s="3"/>
      <c r="F5" s="3"/>
      <c r="G5" s="3"/>
      <c r="H5" s="4"/>
      <c r="I5" s="4"/>
      <c r="J5" s="4"/>
      <c r="K5" s="4"/>
      <c r="L5" s="4"/>
      <c r="M5" s="4"/>
      <c r="N5" s="4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7"/>
      <c r="AA5" s="7"/>
      <c r="AB5" s="7"/>
      <c r="AC5" s="7"/>
      <c r="AD5" s="7"/>
      <c r="AE5" s="7"/>
      <c r="AF5" s="7"/>
      <c r="AG5" s="11"/>
      <c r="AH5" s="21"/>
      <c r="AI5" s="22"/>
      <c r="AJ5" s="18"/>
      <c r="AK5" s="19"/>
      <c r="AL5" s="19"/>
    </row>
    <row r="6" spans="1:40" hidden="1" x14ac:dyDescent="0.2">
      <c r="A6" t="s">
        <v>51</v>
      </c>
      <c r="B6" s="3"/>
      <c r="C6" s="3"/>
      <c r="D6" s="3"/>
      <c r="E6" s="3"/>
      <c r="F6" s="3"/>
      <c r="G6" s="3"/>
      <c r="H6" s="4"/>
      <c r="I6" s="4"/>
      <c r="J6" s="4"/>
      <c r="K6" s="4"/>
      <c r="L6" s="4"/>
      <c r="M6" s="4"/>
      <c r="N6" s="4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7"/>
      <c r="AA6" s="7"/>
      <c r="AB6" s="7"/>
      <c r="AC6" s="7"/>
      <c r="AD6" s="7"/>
      <c r="AE6" s="7"/>
      <c r="AF6" s="7"/>
      <c r="AG6" s="11"/>
      <c r="AH6" s="21"/>
      <c r="AI6" s="22"/>
      <c r="AJ6" s="18"/>
      <c r="AK6" s="19"/>
      <c r="AL6" s="19"/>
    </row>
    <row r="7" spans="1:40" hidden="1" x14ac:dyDescent="0.2">
      <c r="A7" t="s">
        <v>52</v>
      </c>
      <c r="B7" s="3"/>
      <c r="C7" s="3"/>
      <c r="D7" s="3"/>
      <c r="E7" s="3"/>
      <c r="F7" s="3"/>
      <c r="G7" s="3"/>
      <c r="H7" s="4"/>
      <c r="I7" s="4"/>
      <c r="J7" s="4"/>
      <c r="K7" s="4"/>
      <c r="L7" s="4"/>
      <c r="M7" s="4"/>
      <c r="N7" s="4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7"/>
      <c r="AA7" s="7"/>
      <c r="AB7" s="7"/>
      <c r="AC7" s="7"/>
      <c r="AD7" s="7"/>
      <c r="AE7" s="7"/>
      <c r="AF7" s="7"/>
      <c r="AG7" s="11"/>
      <c r="AH7" s="21"/>
      <c r="AI7" s="22"/>
      <c r="AJ7" s="18"/>
      <c r="AK7" s="19"/>
      <c r="AL7" s="19"/>
    </row>
    <row r="8" spans="1:40" ht="96" x14ac:dyDescent="0.2">
      <c r="A8" t="s">
        <v>53</v>
      </c>
      <c r="B8" s="8" t="s">
        <v>36</v>
      </c>
      <c r="C8" s="8" t="s">
        <v>36</v>
      </c>
      <c r="D8" s="8" t="s">
        <v>54</v>
      </c>
      <c r="E8" s="8"/>
      <c r="F8" s="8" t="s">
        <v>36</v>
      </c>
      <c r="G8" s="8"/>
      <c r="H8" s="8" t="s">
        <v>55</v>
      </c>
      <c r="I8" s="8" t="s">
        <v>56</v>
      </c>
      <c r="J8" s="8" t="s">
        <v>57</v>
      </c>
      <c r="K8" s="8" t="s">
        <v>41</v>
      </c>
      <c r="L8" s="8" t="s">
        <v>58</v>
      </c>
      <c r="M8" s="8" t="s">
        <v>59</v>
      </c>
      <c r="N8" s="8"/>
      <c r="O8" s="8" t="s">
        <v>60</v>
      </c>
      <c r="P8" s="8" t="s">
        <v>61</v>
      </c>
      <c r="Q8" s="8" t="s">
        <v>62</v>
      </c>
      <c r="R8" s="8" t="s">
        <v>63</v>
      </c>
      <c r="S8" s="8" t="s">
        <v>64</v>
      </c>
      <c r="T8" s="8" t="s">
        <v>65</v>
      </c>
      <c r="U8" s="8" t="s">
        <v>66</v>
      </c>
      <c r="V8" s="8" t="s">
        <v>67</v>
      </c>
      <c r="W8" s="8" t="s">
        <v>68</v>
      </c>
      <c r="X8" s="8"/>
      <c r="Y8" s="8"/>
      <c r="Z8" s="8" t="s">
        <v>69</v>
      </c>
      <c r="AA8" s="8"/>
      <c r="AB8" s="8" t="s">
        <v>70</v>
      </c>
      <c r="AC8" s="8" t="s">
        <v>71</v>
      </c>
      <c r="AD8" s="32" t="s">
        <v>110</v>
      </c>
      <c r="AE8" s="8" t="s">
        <v>101</v>
      </c>
      <c r="AF8" s="8" t="s">
        <v>95</v>
      </c>
      <c r="AG8" s="8"/>
      <c r="AH8" s="10" t="s">
        <v>72</v>
      </c>
      <c r="AI8" s="10"/>
      <c r="AJ8" s="15" t="s">
        <v>73</v>
      </c>
      <c r="AK8" s="15" t="s">
        <v>74</v>
      </c>
      <c r="AL8" s="15" t="s">
        <v>75</v>
      </c>
    </row>
    <row r="9" spans="1:40" ht="32" x14ac:dyDescent="0.2">
      <c r="A9" t="s">
        <v>76</v>
      </c>
      <c r="B9" s="8"/>
      <c r="C9" s="8"/>
      <c r="D9" s="8"/>
      <c r="E9" s="8"/>
      <c r="F9" s="8"/>
      <c r="G9" s="8"/>
      <c r="H9" s="8"/>
      <c r="I9" s="8"/>
      <c r="J9" s="8"/>
      <c r="K9" s="8"/>
      <c r="L9" s="8" t="s">
        <v>77</v>
      </c>
      <c r="M9" s="8"/>
      <c r="N9" s="8"/>
      <c r="O9" s="8"/>
      <c r="P9" s="8"/>
      <c r="Q9" s="8"/>
      <c r="R9" s="50" t="s">
        <v>78</v>
      </c>
      <c r="S9" s="50"/>
      <c r="T9" s="51" t="s">
        <v>79</v>
      </c>
      <c r="U9" s="52"/>
      <c r="V9" s="51" t="s">
        <v>80</v>
      </c>
      <c r="W9" s="52"/>
      <c r="X9" s="30"/>
      <c r="Y9" s="30"/>
      <c r="Z9" s="8"/>
      <c r="AA9" s="8"/>
      <c r="AB9" s="25" t="s">
        <v>99</v>
      </c>
      <c r="AC9" s="8"/>
      <c r="AD9" s="8" t="s">
        <v>111</v>
      </c>
      <c r="AE9" s="8"/>
      <c r="AF9" s="8"/>
      <c r="AG9" s="8" t="s">
        <v>81</v>
      </c>
      <c r="AH9" s="10" t="s">
        <v>118</v>
      </c>
      <c r="AI9" s="10"/>
      <c r="AJ9" s="8"/>
      <c r="AK9" s="8"/>
      <c r="AL9" s="8" t="s">
        <v>81</v>
      </c>
    </row>
    <row r="10" spans="1:40" s="26" customFormat="1" x14ac:dyDescent="0.2">
      <c r="A10" t="s">
        <v>106</v>
      </c>
      <c r="B10" t="s">
        <v>83</v>
      </c>
      <c r="C10" t="s">
        <v>84</v>
      </c>
      <c r="D10" t="s">
        <v>85</v>
      </c>
      <c r="E10" t="s">
        <v>103</v>
      </c>
      <c r="F10" t="s">
        <v>84</v>
      </c>
      <c r="G10" t="s">
        <v>100</v>
      </c>
      <c r="H10" t="s">
        <v>104</v>
      </c>
      <c r="I10" t="s">
        <v>105</v>
      </c>
      <c r="J10" t="s">
        <v>89</v>
      </c>
      <c r="K10" s="27">
        <v>2018</v>
      </c>
      <c r="L10">
        <v>2018</v>
      </c>
      <c r="M10">
        <v>15</v>
      </c>
      <c r="N10"/>
      <c r="O10" t="s">
        <v>109</v>
      </c>
      <c r="P10" t="s">
        <v>61</v>
      </c>
      <c r="Q10" t="s">
        <v>90</v>
      </c>
      <c r="R10">
        <v>63.419583967529199</v>
      </c>
      <c r="S10" t="s">
        <v>61</v>
      </c>
      <c r="T10">
        <v>1.1027361972715699</v>
      </c>
      <c r="U10" t="s">
        <v>107</v>
      </c>
      <c r="V10">
        <v>0</v>
      </c>
      <c r="W10" t="s">
        <v>93</v>
      </c>
      <c r="X10"/>
      <c r="Y10"/>
      <c r="Z10">
        <v>0.7</v>
      </c>
      <c r="AA10"/>
      <c r="AB10">
        <v>1</v>
      </c>
      <c r="AC10" t="s">
        <v>108</v>
      </c>
      <c r="AD10" s="27">
        <v>16.1041579314507</v>
      </c>
      <c r="AE10" t="s">
        <v>109</v>
      </c>
      <c r="AF10">
        <v>1</v>
      </c>
      <c r="AG10" t="s">
        <v>109</v>
      </c>
      <c r="AH10">
        <v>0.67424888427398</v>
      </c>
      <c r="AI10" t="s">
        <v>109</v>
      </c>
      <c r="AJ10"/>
      <c r="AK10"/>
      <c r="AL10"/>
      <c r="AM10"/>
      <c r="AN10"/>
    </row>
    <row r="11" spans="1:40" s="26" customFormat="1" x14ac:dyDescent="0.2">
      <c r="A11" t="s">
        <v>106</v>
      </c>
      <c r="B11" t="s">
        <v>83</v>
      </c>
      <c r="C11" t="s">
        <v>84</v>
      </c>
      <c r="D11" t="s">
        <v>85</v>
      </c>
      <c r="E11" t="s">
        <v>103</v>
      </c>
      <c r="F11" t="s">
        <v>84</v>
      </c>
      <c r="G11" t="s">
        <v>100</v>
      </c>
      <c r="H11" t="s">
        <v>104</v>
      </c>
      <c r="I11" t="s">
        <v>105</v>
      </c>
      <c r="J11" t="s">
        <v>89</v>
      </c>
      <c r="K11" s="27">
        <v>2020</v>
      </c>
      <c r="L11">
        <v>2018</v>
      </c>
      <c r="M11">
        <v>15</v>
      </c>
      <c r="N11"/>
      <c r="O11" t="s">
        <v>109</v>
      </c>
      <c r="P11" t="s">
        <v>61</v>
      </c>
      <c r="Q11" t="s">
        <v>90</v>
      </c>
      <c r="R11">
        <v>63.419583967529199</v>
      </c>
      <c r="S11" t="s">
        <v>61</v>
      </c>
      <c r="T11">
        <v>1.1027361972715699</v>
      </c>
      <c r="U11" t="s">
        <v>107</v>
      </c>
      <c r="V11">
        <v>0</v>
      </c>
      <c r="W11" t="s">
        <v>93</v>
      </c>
      <c r="X11"/>
      <c r="Y11"/>
      <c r="Z11">
        <v>0.7</v>
      </c>
      <c r="AA11"/>
      <c r="AB11">
        <v>1</v>
      </c>
      <c r="AC11" t="s">
        <v>108</v>
      </c>
      <c r="AD11" s="27">
        <v>15.866911163272301</v>
      </c>
      <c r="AE11" t="s">
        <v>109</v>
      </c>
      <c r="AF11">
        <v>1</v>
      </c>
      <c r="AG11" t="s">
        <v>109</v>
      </c>
      <c r="AH11">
        <v>0.67424888427398</v>
      </c>
      <c r="AI11" t="s">
        <v>109</v>
      </c>
      <c r="AJ11"/>
      <c r="AK11"/>
      <c r="AL11"/>
      <c r="AM11"/>
      <c r="AN11"/>
    </row>
    <row r="12" spans="1:40" s="26" customFormat="1" x14ac:dyDescent="0.2">
      <c r="A12" t="s">
        <v>106</v>
      </c>
      <c r="B12" t="s">
        <v>83</v>
      </c>
      <c r="C12" t="s">
        <v>84</v>
      </c>
      <c r="D12" t="s">
        <v>85</v>
      </c>
      <c r="E12" t="s">
        <v>103</v>
      </c>
      <c r="F12" t="s">
        <v>84</v>
      </c>
      <c r="G12" t="s">
        <v>100</v>
      </c>
      <c r="H12" t="s">
        <v>104</v>
      </c>
      <c r="I12" t="s">
        <v>105</v>
      </c>
      <c r="J12" t="s">
        <v>89</v>
      </c>
      <c r="K12" s="27">
        <v>2022</v>
      </c>
      <c r="L12">
        <v>2018</v>
      </c>
      <c r="M12">
        <v>15</v>
      </c>
      <c r="N12"/>
      <c r="O12" t="s">
        <v>109</v>
      </c>
      <c r="P12" t="s">
        <v>61</v>
      </c>
      <c r="Q12" t="s">
        <v>90</v>
      </c>
      <c r="R12">
        <v>63.419583967529199</v>
      </c>
      <c r="S12" t="s">
        <v>61</v>
      </c>
      <c r="T12">
        <v>1.1027361972715699</v>
      </c>
      <c r="U12" t="s">
        <v>107</v>
      </c>
      <c r="V12">
        <v>0</v>
      </c>
      <c r="W12" t="s">
        <v>93</v>
      </c>
      <c r="X12"/>
      <c r="Y12"/>
      <c r="Z12">
        <v>0.7</v>
      </c>
      <c r="AA12"/>
      <c r="AB12">
        <v>1</v>
      </c>
      <c r="AC12" t="s">
        <v>108</v>
      </c>
      <c r="AD12" s="27">
        <v>21.830418480872499</v>
      </c>
      <c r="AE12" t="s">
        <v>109</v>
      </c>
      <c r="AF12">
        <v>1</v>
      </c>
      <c r="AG12" t="s">
        <v>109</v>
      </c>
      <c r="AH12">
        <v>0.67424888427398</v>
      </c>
      <c r="AI12" t="s">
        <v>109</v>
      </c>
      <c r="AJ12"/>
      <c r="AK12"/>
      <c r="AL12"/>
      <c r="AM12"/>
      <c r="AN12"/>
    </row>
    <row r="13" spans="1:40" s="26" customFormat="1" x14ac:dyDescent="0.2">
      <c r="A13" t="s">
        <v>106</v>
      </c>
      <c r="B13" t="s">
        <v>83</v>
      </c>
      <c r="C13" t="s">
        <v>84</v>
      </c>
      <c r="D13" t="s">
        <v>85</v>
      </c>
      <c r="E13" t="s">
        <v>103</v>
      </c>
      <c r="F13" t="s">
        <v>84</v>
      </c>
      <c r="G13" t="s">
        <v>100</v>
      </c>
      <c r="H13" t="s">
        <v>104</v>
      </c>
      <c r="I13" t="s">
        <v>105</v>
      </c>
      <c r="J13" t="s">
        <v>89</v>
      </c>
      <c r="K13" s="27">
        <v>2024</v>
      </c>
      <c r="L13">
        <v>2018</v>
      </c>
      <c r="M13">
        <v>15</v>
      </c>
      <c r="N13"/>
      <c r="O13" t="s">
        <v>109</v>
      </c>
      <c r="P13" t="s">
        <v>61</v>
      </c>
      <c r="Q13" t="s">
        <v>90</v>
      </c>
      <c r="R13">
        <v>63.419583967529199</v>
      </c>
      <c r="S13" t="s">
        <v>61</v>
      </c>
      <c r="T13">
        <v>1.1027361972715699</v>
      </c>
      <c r="U13" t="s">
        <v>107</v>
      </c>
      <c r="V13">
        <v>0</v>
      </c>
      <c r="W13" t="s">
        <v>93</v>
      </c>
      <c r="X13"/>
      <c r="Y13"/>
      <c r="Z13">
        <v>0.7</v>
      </c>
      <c r="AA13"/>
      <c r="AB13">
        <v>1</v>
      </c>
      <c r="AC13" t="s">
        <v>108</v>
      </c>
      <c r="AD13" s="27">
        <v>27.793925798472699</v>
      </c>
      <c r="AE13" t="s">
        <v>109</v>
      </c>
      <c r="AF13">
        <v>1</v>
      </c>
      <c r="AG13" t="s">
        <v>109</v>
      </c>
      <c r="AH13">
        <v>0.67424888427398</v>
      </c>
      <c r="AI13" t="s">
        <v>109</v>
      </c>
      <c r="AJ13"/>
      <c r="AK13"/>
      <c r="AL13"/>
      <c r="AM13"/>
      <c r="AN13"/>
    </row>
    <row r="14" spans="1:40" s="26" customFormat="1" x14ac:dyDescent="0.2">
      <c r="A14" t="s">
        <v>106</v>
      </c>
      <c r="B14" t="s">
        <v>83</v>
      </c>
      <c r="C14" t="s">
        <v>84</v>
      </c>
      <c r="D14" t="s">
        <v>85</v>
      </c>
      <c r="E14" t="s">
        <v>103</v>
      </c>
      <c r="F14" t="s">
        <v>84</v>
      </c>
      <c r="G14" t="s">
        <v>100</v>
      </c>
      <c r="H14" t="s">
        <v>104</v>
      </c>
      <c r="I14" t="s">
        <v>105</v>
      </c>
      <c r="J14" t="s">
        <v>89</v>
      </c>
      <c r="K14" s="27">
        <v>2026</v>
      </c>
      <c r="L14">
        <v>2018</v>
      </c>
      <c r="M14">
        <v>15</v>
      </c>
      <c r="N14"/>
      <c r="O14" t="s">
        <v>109</v>
      </c>
      <c r="P14" t="s">
        <v>61</v>
      </c>
      <c r="Q14" t="s">
        <v>90</v>
      </c>
      <c r="R14">
        <v>63.419583967529199</v>
      </c>
      <c r="S14" t="s">
        <v>61</v>
      </c>
      <c r="T14">
        <v>1.1027361972715699</v>
      </c>
      <c r="U14" t="s">
        <v>107</v>
      </c>
      <c r="V14">
        <v>0</v>
      </c>
      <c r="W14" t="s">
        <v>93</v>
      </c>
      <c r="X14"/>
      <c r="Y14"/>
      <c r="Z14">
        <v>0.7</v>
      </c>
      <c r="AA14"/>
      <c r="AB14">
        <v>1</v>
      </c>
      <c r="AC14" t="s">
        <v>108</v>
      </c>
      <c r="AD14" s="27">
        <v>33.757433116072903</v>
      </c>
      <c r="AE14" t="s">
        <v>109</v>
      </c>
      <c r="AF14">
        <v>1</v>
      </c>
      <c r="AG14" t="s">
        <v>109</v>
      </c>
      <c r="AH14">
        <v>0.67424888427398</v>
      </c>
      <c r="AI14" t="s">
        <v>109</v>
      </c>
      <c r="AJ14"/>
      <c r="AK14"/>
      <c r="AL14"/>
      <c r="AM14"/>
      <c r="AN14"/>
    </row>
    <row r="15" spans="1:40" s="26" customFormat="1" x14ac:dyDescent="0.2">
      <c r="A15" t="s">
        <v>106</v>
      </c>
      <c r="B15" t="s">
        <v>83</v>
      </c>
      <c r="C15" t="s">
        <v>84</v>
      </c>
      <c r="D15" t="s">
        <v>85</v>
      </c>
      <c r="E15" t="s">
        <v>103</v>
      </c>
      <c r="F15" t="s">
        <v>84</v>
      </c>
      <c r="G15" t="s">
        <v>100</v>
      </c>
      <c r="H15" t="s">
        <v>104</v>
      </c>
      <c r="I15" t="s">
        <v>105</v>
      </c>
      <c r="J15" t="s">
        <v>89</v>
      </c>
      <c r="K15" s="27">
        <v>2028</v>
      </c>
      <c r="L15">
        <v>2018</v>
      </c>
      <c r="M15">
        <v>15</v>
      </c>
      <c r="N15"/>
      <c r="O15" t="s">
        <v>109</v>
      </c>
      <c r="P15" t="s">
        <v>61</v>
      </c>
      <c r="Q15" t="s">
        <v>90</v>
      </c>
      <c r="R15">
        <v>63.419583967529199</v>
      </c>
      <c r="S15" t="s">
        <v>61</v>
      </c>
      <c r="T15">
        <v>1.1027361972715699</v>
      </c>
      <c r="U15" t="s">
        <v>107</v>
      </c>
      <c r="V15">
        <v>0</v>
      </c>
      <c r="W15" t="s">
        <v>93</v>
      </c>
      <c r="X15"/>
      <c r="Y15"/>
      <c r="Z15">
        <v>0.7</v>
      </c>
      <c r="AA15"/>
      <c r="AB15">
        <v>1</v>
      </c>
      <c r="AC15" t="s">
        <v>108</v>
      </c>
      <c r="AD15" s="27">
        <v>39.7209404336731</v>
      </c>
      <c r="AE15" t="s">
        <v>109</v>
      </c>
      <c r="AF15">
        <v>1</v>
      </c>
      <c r="AG15" t="s">
        <v>109</v>
      </c>
      <c r="AH15">
        <v>0.67424888427398</v>
      </c>
      <c r="AI15" t="s">
        <v>109</v>
      </c>
      <c r="AJ15"/>
      <c r="AK15"/>
      <c r="AL15"/>
      <c r="AM15"/>
      <c r="AN15"/>
    </row>
    <row r="16" spans="1:40" s="26" customFormat="1" x14ac:dyDescent="0.2">
      <c r="A16" t="s">
        <v>106</v>
      </c>
      <c r="B16" t="s">
        <v>83</v>
      </c>
      <c r="C16" t="s">
        <v>84</v>
      </c>
      <c r="D16" t="s">
        <v>85</v>
      </c>
      <c r="E16" t="s">
        <v>103</v>
      </c>
      <c r="F16" t="s">
        <v>84</v>
      </c>
      <c r="G16" t="s">
        <v>100</v>
      </c>
      <c r="H16" t="s">
        <v>104</v>
      </c>
      <c r="I16" t="s">
        <v>105</v>
      </c>
      <c r="J16" t="s">
        <v>89</v>
      </c>
      <c r="K16" s="27">
        <v>2030</v>
      </c>
      <c r="L16">
        <v>2018</v>
      </c>
      <c r="M16">
        <v>15</v>
      </c>
      <c r="N16"/>
      <c r="O16" t="s">
        <v>109</v>
      </c>
      <c r="P16" t="s">
        <v>61</v>
      </c>
      <c r="Q16" t="s">
        <v>90</v>
      </c>
      <c r="R16">
        <v>63.419583967529199</v>
      </c>
      <c r="S16" t="s">
        <v>61</v>
      </c>
      <c r="T16">
        <v>1.1027361972715699</v>
      </c>
      <c r="U16" t="s">
        <v>107</v>
      </c>
      <c r="V16">
        <v>0</v>
      </c>
      <c r="W16" t="s">
        <v>93</v>
      </c>
      <c r="X16"/>
      <c r="Y16"/>
      <c r="Z16">
        <v>0.7</v>
      </c>
      <c r="AA16"/>
      <c r="AB16">
        <v>1</v>
      </c>
      <c r="AC16" t="s">
        <v>108</v>
      </c>
      <c r="AD16" s="27">
        <v>45.684447751273296</v>
      </c>
      <c r="AE16" t="s">
        <v>109</v>
      </c>
      <c r="AF16">
        <v>1</v>
      </c>
      <c r="AG16" t="s">
        <v>109</v>
      </c>
      <c r="AH16">
        <v>0.67424888427398</v>
      </c>
      <c r="AI16" t="s">
        <v>109</v>
      </c>
      <c r="AJ16"/>
      <c r="AK16"/>
      <c r="AL16"/>
      <c r="AM16"/>
      <c r="AN16"/>
    </row>
    <row r="17" spans="1:40" s="26" customFormat="1" x14ac:dyDescent="0.2">
      <c r="A17" t="s">
        <v>106</v>
      </c>
      <c r="B17" t="s">
        <v>83</v>
      </c>
      <c r="C17" t="s">
        <v>84</v>
      </c>
      <c r="D17" t="s">
        <v>85</v>
      </c>
      <c r="E17" t="s">
        <v>103</v>
      </c>
      <c r="F17" t="s">
        <v>84</v>
      </c>
      <c r="G17" t="s">
        <v>100</v>
      </c>
      <c r="H17" t="s">
        <v>104</v>
      </c>
      <c r="I17" t="s">
        <v>105</v>
      </c>
      <c r="J17" t="s">
        <v>89</v>
      </c>
      <c r="K17" s="27">
        <v>2042</v>
      </c>
      <c r="L17">
        <v>2018</v>
      </c>
      <c r="M17">
        <v>15</v>
      </c>
      <c r="N17"/>
      <c r="O17" t="s">
        <v>109</v>
      </c>
      <c r="P17" t="s">
        <v>61</v>
      </c>
      <c r="Q17" t="s">
        <v>90</v>
      </c>
      <c r="R17">
        <v>63.419583967529199</v>
      </c>
      <c r="S17" t="s">
        <v>61</v>
      </c>
      <c r="T17">
        <v>1.1027361972715699</v>
      </c>
      <c r="U17" t="s">
        <v>107</v>
      </c>
      <c r="V17">
        <v>0</v>
      </c>
      <c r="W17" t="s">
        <v>93</v>
      </c>
      <c r="X17"/>
      <c r="Y17"/>
      <c r="Z17">
        <v>0.7</v>
      </c>
      <c r="AA17"/>
      <c r="AB17">
        <v>1</v>
      </c>
      <c r="AC17" t="s">
        <v>108</v>
      </c>
      <c r="AD17" s="27">
        <v>45.072855347745502</v>
      </c>
      <c r="AE17" t="s">
        <v>109</v>
      </c>
      <c r="AF17">
        <v>1</v>
      </c>
      <c r="AG17" t="s">
        <v>109</v>
      </c>
      <c r="AH17">
        <v>0.67424888427398</v>
      </c>
      <c r="AI17" t="s">
        <v>109</v>
      </c>
      <c r="AJ17"/>
      <c r="AK17"/>
      <c r="AL17"/>
      <c r="AM17"/>
      <c r="AN17"/>
    </row>
    <row r="18" spans="1:40" s="26" customFormat="1" x14ac:dyDescent="0.2">
      <c r="A18" t="s">
        <v>106</v>
      </c>
      <c r="B18" t="s">
        <v>83</v>
      </c>
      <c r="C18" t="s">
        <v>84</v>
      </c>
      <c r="D18" t="s">
        <v>85</v>
      </c>
      <c r="E18" t="s">
        <v>103</v>
      </c>
      <c r="F18" t="s">
        <v>84</v>
      </c>
      <c r="G18" t="s">
        <v>100</v>
      </c>
      <c r="H18" t="s">
        <v>104</v>
      </c>
      <c r="I18" t="s">
        <v>105</v>
      </c>
      <c r="J18" t="s">
        <v>89</v>
      </c>
      <c r="K18" s="27">
        <v>2044</v>
      </c>
      <c r="L18">
        <v>2018</v>
      </c>
      <c r="M18">
        <v>15</v>
      </c>
      <c r="N18"/>
      <c r="O18" t="s">
        <v>109</v>
      </c>
      <c r="P18" t="s">
        <v>61</v>
      </c>
      <c r="Q18" t="s">
        <v>90</v>
      </c>
      <c r="R18">
        <v>63.419583967529199</v>
      </c>
      <c r="S18" t="s">
        <v>61</v>
      </c>
      <c r="T18">
        <v>1.1027361972715699</v>
      </c>
      <c r="U18" t="s">
        <v>107</v>
      </c>
      <c r="V18">
        <v>0</v>
      </c>
      <c r="W18" t="s">
        <v>93</v>
      </c>
      <c r="X18"/>
      <c r="Y18"/>
      <c r="Z18">
        <v>0.7</v>
      </c>
      <c r="AA18"/>
      <c r="AB18">
        <v>1</v>
      </c>
      <c r="AC18" t="s">
        <v>108</v>
      </c>
      <c r="AD18" s="27">
        <v>44.461262944217701</v>
      </c>
      <c r="AE18" t="s">
        <v>109</v>
      </c>
      <c r="AF18">
        <v>1</v>
      </c>
      <c r="AG18" t="s">
        <v>109</v>
      </c>
      <c r="AH18">
        <v>0.67424888427398</v>
      </c>
      <c r="AI18" t="s">
        <v>109</v>
      </c>
      <c r="AJ18"/>
      <c r="AK18"/>
      <c r="AL18"/>
      <c r="AM18"/>
      <c r="AN18"/>
    </row>
    <row r="19" spans="1:40" s="26" customFormat="1" x14ac:dyDescent="0.2">
      <c r="A19" t="s">
        <v>106</v>
      </c>
      <c r="B19" t="s">
        <v>83</v>
      </c>
      <c r="C19" t="s">
        <v>84</v>
      </c>
      <c r="D19" t="s">
        <v>85</v>
      </c>
      <c r="E19" t="s">
        <v>103</v>
      </c>
      <c r="F19" t="s">
        <v>84</v>
      </c>
      <c r="G19" t="s">
        <v>100</v>
      </c>
      <c r="H19" t="s">
        <v>104</v>
      </c>
      <c r="I19" t="s">
        <v>105</v>
      </c>
      <c r="J19" t="s">
        <v>89</v>
      </c>
      <c r="K19" s="27">
        <v>2046</v>
      </c>
      <c r="L19">
        <v>2018</v>
      </c>
      <c r="M19">
        <v>15</v>
      </c>
      <c r="N19"/>
      <c r="O19" t="s">
        <v>109</v>
      </c>
      <c r="P19" t="s">
        <v>61</v>
      </c>
      <c r="Q19" t="s">
        <v>90</v>
      </c>
      <c r="R19">
        <v>63.419583967529199</v>
      </c>
      <c r="S19" t="s">
        <v>61</v>
      </c>
      <c r="T19">
        <v>1.1027361972715699</v>
      </c>
      <c r="U19" t="s">
        <v>107</v>
      </c>
      <c r="V19">
        <v>0</v>
      </c>
      <c r="W19" t="s">
        <v>93</v>
      </c>
      <c r="X19"/>
      <c r="Y19"/>
      <c r="Z19">
        <v>0.7</v>
      </c>
      <c r="AA19"/>
      <c r="AB19">
        <v>1</v>
      </c>
      <c r="AC19" t="s">
        <v>108</v>
      </c>
      <c r="AD19" s="27">
        <v>43.8496705406899</v>
      </c>
      <c r="AE19" t="s">
        <v>109</v>
      </c>
      <c r="AF19">
        <v>1</v>
      </c>
      <c r="AG19" t="s">
        <v>109</v>
      </c>
      <c r="AH19">
        <v>0.67424888427398</v>
      </c>
      <c r="AI19" t="s">
        <v>109</v>
      </c>
      <c r="AJ19"/>
      <c r="AK19"/>
      <c r="AL19"/>
      <c r="AM19"/>
      <c r="AN19"/>
    </row>
    <row r="20" spans="1:40" s="26" customFormat="1" x14ac:dyDescent="0.2">
      <c r="A20" t="s">
        <v>106</v>
      </c>
      <c r="B20" t="s">
        <v>83</v>
      </c>
      <c r="C20" t="s">
        <v>84</v>
      </c>
      <c r="D20" t="s">
        <v>85</v>
      </c>
      <c r="E20" t="s">
        <v>103</v>
      </c>
      <c r="F20" t="s">
        <v>84</v>
      </c>
      <c r="G20" t="s">
        <v>100</v>
      </c>
      <c r="H20" t="s">
        <v>104</v>
      </c>
      <c r="I20" t="s">
        <v>105</v>
      </c>
      <c r="J20" t="s">
        <v>89</v>
      </c>
      <c r="K20" s="27">
        <v>2048</v>
      </c>
      <c r="L20">
        <v>2018</v>
      </c>
      <c r="M20">
        <v>15</v>
      </c>
      <c r="N20"/>
      <c r="O20" t="s">
        <v>109</v>
      </c>
      <c r="P20" t="s">
        <v>61</v>
      </c>
      <c r="Q20" t="s">
        <v>90</v>
      </c>
      <c r="R20">
        <v>63.419583967529199</v>
      </c>
      <c r="S20" t="s">
        <v>61</v>
      </c>
      <c r="T20">
        <v>1.1027361972715699</v>
      </c>
      <c r="U20" t="s">
        <v>107</v>
      </c>
      <c r="V20">
        <v>0</v>
      </c>
      <c r="W20" t="s">
        <v>93</v>
      </c>
      <c r="X20"/>
      <c r="Y20"/>
      <c r="Z20">
        <v>0.7</v>
      </c>
      <c r="AA20"/>
      <c r="AB20">
        <v>1</v>
      </c>
      <c r="AC20" t="s">
        <v>108</v>
      </c>
      <c r="AD20" s="27">
        <v>43.238078137162098</v>
      </c>
      <c r="AE20" t="s">
        <v>109</v>
      </c>
      <c r="AF20">
        <v>1</v>
      </c>
      <c r="AG20" t="s">
        <v>109</v>
      </c>
      <c r="AH20">
        <v>0.67424888427398</v>
      </c>
      <c r="AI20" t="s">
        <v>109</v>
      </c>
      <c r="AJ20"/>
      <c r="AK20"/>
      <c r="AL20"/>
      <c r="AM20"/>
      <c r="AN20"/>
    </row>
    <row r="21" spans="1:40" s="26" customFormat="1" x14ac:dyDescent="0.2">
      <c r="A21" t="s">
        <v>106</v>
      </c>
      <c r="B21" t="s">
        <v>83</v>
      </c>
      <c r="C21" t="s">
        <v>84</v>
      </c>
      <c r="D21" t="s">
        <v>85</v>
      </c>
      <c r="E21" t="s">
        <v>103</v>
      </c>
      <c r="F21" t="s">
        <v>84</v>
      </c>
      <c r="G21" t="s">
        <v>100</v>
      </c>
      <c r="H21" t="s">
        <v>104</v>
      </c>
      <c r="I21" t="s">
        <v>105</v>
      </c>
      <c r="J21" t="s">
        <v>89</v>
      </c>
      <c r="K21" s="27">
        <v>2050</v>
      </c>
      <c r="L21">
        <v>2018</v>
      </c>
      <c r="M21">
        <v>15</v>
      </c>
      <c r="N21"/>
      <c r="O21" t="s">
        <v>109</v>
      </c>
      <c r="P21" t="s">
        <v>61</v>
      </c>
      <c r="Q21" t="s">
        <v>90</v>
      </c>
      <c r="R21">
        <v>63.419583967529199</v>
      </c>
      <c r="S21" t="s">
        <v>61</v>
      </c>
      <c r="T21">
        <v>1.1027361972715699</v>
      </c>
      <c r="U21" t="s">
        <v>107</v>
      </c>
      <c r="V21">
        <v>0</v>
      </c>
      <c r="W21" t="s">
        <v>93</v>
      </c>
      <c r="X21"/>
      <c r="Y21"/>
      <c r="Z21">
        <v>0.7</v>
      </c>
      <c r="AA21"/>
      <c r="AB21">
        <v>1</v>
      </c>
      <c r="AC21" t="s">
        <v>108</v>
      </c>
      <c r="AD21" s="27">
        <v>42.626485733634297</v>
      </c>
      <c r="AE21" t="s">
        <v>109</v>
      </c>
      <c r="AF21">
        <v>1</v>
      </c>
      <c r="AG21" t="s">
        <v>109</v>
      </c>
      <c r="AH21">
        <v>0.67424888427398</v>
      </c>
      <c r="AI21" t="s">
        <v>109</v>
      </c>
      <c r="AJ21"/>
      <c r="AK21"/>
      <c r="AL21"/>
      <c r="AM21"/>
      <c r="AN21"/>
    </row>
  </sheetData>
  <mergeCells count="14">
    <mergeCell ref="Z1:AG1"/>
    <mergeCell ref="AH1:AI1"/>
    <mergeCell ref="AJ1:AL2"/>
    <mergeCell ref="R9:S9"/>
    <mergeCell ref="T9:U9"/>
    <mergeCell ref="V9:W9"/>
    <mergeCell ref="Z4:AG4"/>
    <mergeCell ref="AH4:AI4"/>
    <mergeCell ref="B1:F1"/>
    <mergeCell ref="H1:M1"/>
    <mergeCell ref="O1:W1"/>
    <mergeCell ref="O4:P4"/>
    <mergeCell ref="R4:U4"/>
    <mergeCell ref="V4:W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5D566-B13F-4FA9-9E14-CD9A1811A9AA}">
  <dimension ref="A1:AN36"/>
  <sheetViews>
    <sheetView tabSelected="1" topLeftCell="A3" zoomScale="80" zoomScaleNormal="80" workbookViewId="0">
      <selection activeCell="I24" sqref="I24"/>
    </sheetView>
  </sheetViews>
  <sheetFormatPr baseColWidth="10" defaultColWidth="8.83203125" defaultRowHeight="15" x14ac:dyDescent="0.2"/>
  <cols>
    <col min="2" max="2" width="11" customWidth="1"/>
    <col min="3" max="3" width="11.5" customWidth="1"/>
    <col min="4" max="4" width="16.33203125" customWidth="1"/>
    <col min="5" max="5" width="31.33203125" customWidth="1"/>
    <col min="6" max="6" width="12.5" customWidth="1"/>
    <col min="7" max="7" width="17.83203125" customWidth="1"/>
    <col min="8" max="8" width="20" customWidth="1"/>
    <col min="9" max="9" width="44.33203125" customWidth="1"/>
    <col min="10" max="10" width="6.6640625" customWidth="1"/>
    <col min="11" max="11" width="10.83203125" customWidth="1"/>
    <col min="12" max="12" width="15.33203125" customWidth="1"/>
    <col min="13" max="14" width="12.33203125" customWidth="1"/>
    <col min="15" max="15" width="18.5" bestFit="1" customWidth="1"/>
    <col min="17" max="17" width="21.5" bestFit="1" customWidth="1"/>
    <col min="18" max="18" width="29.83203125" bestFit="1" customWidth="1"/>
    <col min="19" max="19" width="22.83203125" bestFit="1" customWidth="1"/>
    <col min="20" max="20" width="22.5" bestFit="1" customWidth="1"/>
    <col min="21" max="21" width="17" customWidth="1"/>
    <col min="22" max="22" width="16.33203125" customWidth="1"/>
    <col min="23" max="23" width="25.33203125" bestFit="1" customWidth="1"/>
    <col min="24" max="25" width="25.33203125" customWidth="1"/>
    <col min="26" max="26" width="9" bestFit="1" customWidth="1"/>
    <col min="27" max="27" width="9" customWidth="1"/>
    <col min="28" max="28" width="15.6640625" bestFit="1" customWidth="1"/>
    <col min="29" max="29" width="27.1640625" bestFit="1" customWidth="1"/>
    <col min="30" max="30" width="18.1640625" customWidth="1"/>
    <col min="31" max="31" width="27.1640625" customWidth="1"/>
    <col min="32" max="32" width="21.5" bestFit="1" customWidth="1"/>
    <col min="33" max="33" width="8.1640625" bestFit="1" customWidth="1"/>
    <col min="34" max="34" width="11.5" bestFit="1" customWidth="1"/>
    <col min="35" max="35" width="16.1640625" customWidth="1"/>
    <col min="36" max="36" width="18.5" customWidth="1"/>
    <col min="37" max="37" width="18.1640625" customWidth="1"/>
    <col min="38" max="38" width="20.83203125" bestFit="1" customWidth="1"/>
    <col min="39" max="39" width="33.5" bestFit="1" customWidth="1"/>
  </cols>
  <sheetData>
    <row r="1" spans="1:40" x14ac:dyDescent="0.2">
      <c r="B1" s="35" t="s">
        <v>0</v>
      </c>
      <c r="C1" s="35"/>
      <c r="D1" s="35"/>
      <c r="E1" s="35"/>
      <c r="F1" s="35"/>
      <c r="G1" s="2"/>
      <c r="H1" s="36" t="s">
        <v>1</v>
      </c>
      <c r="I1" s="36"/>
      <c r="J1" s="36"/>
      <c r="K1" s="36"/>
      <c r="L1" s="36"/>
      <c r="M1" s="36"/>
      <c r="N1" s="31"/>
      <c r="O1" s="38" t="s">
        <v>2</v>
      </c>
      <c r="P1" s="38"/>
      <c r="Q1" s="38"/>
      <c r="R1" s="38"/>
      <c r="S1" s="38"/>
      <c r="T1" s="38"/>
      <c r="U1" s="38"/>
      <c r="V1" s="38"/>
      <c r="W1" s="38"/>
      <c r="X1" s="29"/>
      <c r="Y1" s="29"/>
      <c r="Z1" s="36" t="s">
        <v>3</v>
      </c>
      <c r="AA1" s="36"/>
      <c r="AB1" s="36"/>
      <c r="AC1" s="36"/>
      <c r="AD1" s="36"/>
      <c r="AE1" s="36"/>
      <c r="AF1" s="36"/>
      <c r="AG1" s="37"/>
      <c r="AH1" s="42" t="s">
        <v>4</v>
      </c>
      <c r="AI1" s="43"/>
      <c r="AJ1" s="46" t="s">
        <v>5</v>
      </c>
      <c r="AK1" s="47"/>
      <c r="AL1" s="47"/>
      <c r="AM1" s="9"/>
    </row>
    <row r="2" spans="1:40" ht="48" x14ac:dyDescent="0.2">
      <c r="A2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4" t="s">
        <v>13</v>
      </c>
      <c r="I2" s="4" t="s">
        <v>14</v>
      </c>
      <c r="J2" s="4" t="s">
        <v>15</v>
      </c>
      <c r="K2" s="4" t="s">
        <v>16</v>
      </c>
      <c r="L2" s="4" t="s">
        <v>17</v>
      </c>
      <c r="M2" s="4" t="s">
        <v>18</v>
      </c>
      <c r="N2" s="34" t="s">
        <v>151</v>
      </c>
      <c r="O2" s="5" t="s">
        <v>19</v>
      </c>
      <c r="P2" s="5" t="s">
        <v>20</v>
      </c>
      <c r="Q2" s="5" t="s">
        <v>21</v>
      </c>
      <c r="R2" s="5" t="s">
        <v>22</v>
      </c>
      <c r="S2" s="5" t="s">
        <v>23</v>
      </c>
      <c r="T2" s="5" t="s">
        <v>24</v>
      </c>
      <c r="U2" s="5" t="s">
        <v>25</v>
      </c>
      <c r="V2" s="5" t="s">
        <v>26</v>
      </c>
      <c r="W2" s="5" t="s">
        <v>27</v>
      </c>
      <c r="X2" s="34" t="s">
        <v>125</v>
      </c>
      <c r="Y2" s="34" t="s">
        <v>126</v>
      </c>
      <c r="Z2" s="4" t="s">
        <v>28</v>
      </c>
      <c r="AA2" s="33" t="s">
        <v>124</v>
      </c>
      <c r="AB2" s="4" t="s">
        <v>29</v>
      </c>
      <c r="AC2" s="13" t="s">
        <v>30</v>
      </c>
      <c r="AD2" s="13"/>
      <c r="AE2" s="13"/>
      <c r="AF2" s="4" t="s">
        <v>96</v>
      </c>
      <c r="AG2" s="16" t="s">
        <v>31</v>
      </c>
      <c r="AH2" s="14" t="s">
        <v>32</v>
      </c>
      <c r="AI2" s="12" t="s">
        <v>33</v>
      </c>
      <c r="AJ2" s="48"/>
      <c r="AK2" s="49"/>
      <c r="AL2" s="49"/>
    </row>
    <row r="3" spans="1:40" x14ac:dyDescent="0.2">
      <c r="A3" t="s">
        <v>34</v>
      </c>
      <c r="B3" s="3"/>
      <c r="C3" s="3"/>
      <c r="D3" s="3"/>
      <c r="E3" s="3"/>
      <c r="F3" s="3"/>
      <c r="G3" s="3"/>
      <c r="H3" s="4"/>
      <c r="I3" s="4"/>
      <c r="J3" s="4"/>
      <c r="K3" s="4"/>
      <c r="L3" s="4"/>
      <c r="M3" s="4"/>
      <c r="N3" s="4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4"/>
      <c r="AA3" s="4"/>
      <c r="AB3" s="4"/>
      <c r="AC3" s="13"/>
      <c r="AD3" s="13"/>
      <c r="AE3" s="13"/>
      <c r="AF3" s="4"/>
      <c r="AG3" s="23"/>
      <c r="AH3" s="14"/>
      <c r="AI3" s="24" t="s">
        <v>102</v>
      </c>
      <c r="AJ3" s="17"/>
      <c r="AK3" s="20"/>
      <c r="AL3" s="20"/>
    </row>
    <row r="4" spans="1:40" hidden="1" x14ac:dyDescent="0.2">
      <c r="A4" t="s">
        <v>35</v>
      </c>
      <c r="B4" s="3" t="s">
        <v>36</v>
      </c>
      <c r="C4" s="3" t="s">
        <v>36</v>
      </c>
      <c r="D4" s="3" t="s">
        <v>37</v>
      </c>
      <c r="E4" s="3" t="s">
        <v>36</v>
      </c>
      <c r="F4" s="3" t="s">
        <v>36</v>
      </c>
      <c r="G4" s="3"/>
      <c r="H4" s="4" t="s">
        <v>38</v>
      </c>
      <c r="I4" s="4" t="s">
        <v>39</v>
      </c>
      <c r="J4" s="4" t="s">
        <v>40</v>
      </c>
      <c r="K4" s="4" t="s">
        <v>41</v>
      </c>
      <c r="L4" s="4" t="s">
        <v>17</v>
      </c>
      <c r="M4" s="4" t="s">
        <v>42</v>
      </c>
      <c r="N4" s="4"/>
      <c r="O4" s="39" t="s">
        <v>43</v>
      </c>
      <c r="P4" s="39"/>
      <c r="Q4" s="6"/>
      <c r="R4" s="39" t="s">
        <v>44</v>
      </c>
      <c r="S4" s="39"/>
      <c r="T4" s="39"/>
      <c r="U4" s="39"/>
      <c r="V4" s="39" t="s">
        <v>45</v>
      </c>
      <c r="W4" s="39"/>
      <c r="X4" s="6"/>
      <c r="Y4" s="6"/>
      <c r="Z4" s="40" t="s">
        <v>46</v>
      </c>
      <c r="AA4" s="40"/>
      <c r="AB4" s="40"/>
      <c r="AC4" s="40"/>
      <c r="AD4" s="40"/>
      <c r="AE4" s="40"/>
      <c r="AF4" s="40"/>
      <c r="AG4" s="41"/>
      <c r="AH4" s="44" t="s">
        <v>47</v>
      </c>
      <c r="AI4" s="45"/>
      <c r="AJ4" s="18" t="s">
        <v>48</v>
      </c>
      <c r="AK4" s="19" t="s">
        <v>49</v>
      </c>
      <c r="AL4" s="19" t="s">
        <v>32</v>
      </c>
    </row>
    <row r="5" spans="1:40" hidden="1" x14ac:dyDescent="0.2">
      <c r="A5" t="s">
        <v>50</v>
      </c>
      <c r="B5" s="3"/>
      <c r="C5" s="3"/>
      <c r="D5" s="3"/>
      <c r="E5" s="3"/>
      <c r="F5" s="3"/>
      <c r="G5" s="3"/>
      <c r="H5" s="4"/>
      <c r="I5" s="4"/>
      <c r="J5" s="4"/>
      <c r="K5" s="4"/>
      <c r="L5" s="4"/>
      <c r="M5" s="4"/>
      <c r="N5" s="4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7"/>
      <c r="AA5" s="7"/>
      <c r="AB5" s="7"/>
      <c r="AC5" s="7"/>
      <c r="AD5" s="7"/>
      <c r="AE5" s="7"/>
      <c r="AF5" s="7"/>
      <c r="AG5" s="11"/>
      <c r="AH5" s="21"/>
      <c r="AI5" s="22"/>
      <c r="AJ5" s="18"/>
      <c r="AK5" s="19"/>
      <c r="AL5" s="19"/>
    </row>
    <row r="6" spans="1:40" hidden="1" x14ac:dyDescent="0.2">
      <c r="A6" t="s">
        <v>51</v>
      </c>
      <c r="B6" s="3"/>
      <c r="C6" s="3"/>
      <c r="D6" s="3"/>
      <c r="E6" s="3"/>
      <c r="F6" s="3"/>
      <c r="G6" s="3"/>
      <c r="H6" s="4"/>
      <c r="I6" s="4"/>
      <c r="J6" s="4"/>
      <c r="K6" s="4"/>
      <c r="L6" s="4"/>
      <c r="M6" s="4"/>
      <c r="N6" s="4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7"/>
      <c r="AA6" s="7"/>
      <c r="AB6" s="7"/>
      <c r="AC6" s="7"/>
      <c r="AD6" s="7"/>
      <c r="AE6" s="7"/>
      <c r="AF6" s="7"/>
      <c r="AG6" s="11"/>
      <c r="AH6" s="21"/>
      <c r="AI6" s="22"/>
      <c r="AJ6" s="18"/>
      <c r="AK6" s="19"/>
      <c r="AL6" s="19"/>
    </row>
    <row r="7" spans="1:40" hidden="1" x14ac:dyDescent="0.2">
      <c r="A7" t="s">
        <v>52</v>
      </c>
      <c r="B7" s="3"/>
      <c r="C7" s="3"/>
      <c r="D7" s="3"/>
      <c r="E7" s="3"/>
      <c r="F7" s="3"/>
      <c r="G7" s="3"/>
      <c r="H7" s="4"/>
      <c r="I7" s="4"/>
      <c r="J7" s="4"/>
      <c r="K7" s="4"/>
      <c r="L7" s="4"/>
      <c r="M7" s="4"/>
      <c r="N7" s="4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7"/>
      <c r="AA7" s="7"/>
      <c r="AB7" s="7"/>
      <c r="AC7" s="7"/>
      <c r="AD7" s="7"/>
      <c r="AE7" s="7"/>
      <c r="AF7" s="7"/>
      <c r="AG7" s="11"/>
      <c r="AH7" s="21"/>
      <c r="AI7" s="22"/>
      <c r="AJ7" s="18"/>
      <c r="AK7" s="19"/>
      <c r="AL7" s="19"/>
    </row>
    <row r="8" spans="1:40" ht="96" x14ac:dyDescent="0.2">
      <c r="A8" t="s">
        <v>53</v>
      </c>
      <c r="B8" s="8" t="s">
        <v>36</v>
      </c>
      <c r="C8" s="8" t="s">
        <v>36</v>
      </c>
      <c r="D8" s="8" t="s">
        <v>54</v>
      </c>
      <c r="E8" s="8"/>
      <c r="F8" s="8" t="s">
        <v>36</v>
      </c>
      <c r="G8" s="8"/>
      <c r="H8" s="8" t="s">
        <v>55</v>
      </c>
      <c r="I8" s="8" t="s">
        <v>56</v>
      </c>
      <c r="J8" s="8" t="s">
        <v>57</v>
      </c>
      <c r="K8" s="8" t="s">
        <v>41</v>
      </c>
      <c r="L8" s="8" t="s">
        <v>58</v>
      </c>
      <c r="M8" s="8" t="s">
        <v>59</v>
      </c>
      <c r="N8" s="8"/>
      <c r="O8" s="8" t="s">
        <v>60</v>
      </c>
      <c r="P8" s="8" t="s">
        <v>61</v>
      </c>
      <c r="Q8" s="8" t="s">
        <v>62</v>
      </c>
      <c r="R8" s="8" t="s">
        <v>63</v>
      </c>
      <c r="S8" s="8" t="s">
        <v>64</v>
      </c>
      <c r="T8" s="8" t="s">
        <v>65</v>
      </c>
      <c r="U8" s="8" t="s">
        <v>66</v>
      </c>
      <c r="V8" s="8" t="s">
        <v>67</v>
      </c>
      <c r="W8" s="8" t="s">
        <v>68</v>
      </c>
      <c r="X8" s="8"/>
      <c r="Y8" s="8"/>
      <c r="Z8" s="8" t="s">
        <v>69</v>
      </c>
      <c r="AA8" s="8"/>
      <c r="AB8" s="8" t="s">
        <v>70</v>
      </c>
      <c r="AC8" s="8" t="s">
        <v>71</v>
      </c>
      <c r="AD8" s="32" t="s">
        <v>110</v>
      </c>
      <c r="AE8" s="8" t="s">
        <v>101</v>
      </c>
      <c r="AF8" s="8" t="s">
        <v>95</v>
      </c>
      <c r="AG8" s="8"/>
      <c r="AH8" s="10" t="s">
        <v>72</v>
      </c>
      <c r="AI8" s="10"/>
      <c r="AJ8" s="15" t="s">
        <v>73</v>
      </c>
      <c r="AK8" s="15" t="s">
        <v>74</v>
      </c>
      <c r="AL8" s="15" t="s">
        <v>75</v>
      </c>
    </row>
    <row r="9" spans="1:40" ht="32" x14ac:dyDescent="0.2">
      <c r="A9" t="s">
        <v>76</v>
      </c>
      <c r="B9" s="8"/>
      <c r="C9" s="8"/>
      <c r="D9" s="8"/>
      <c r="E9" s="8"/>
      <c r="F9" s="8"/>
      <c r="G9" s="8"/>
      <c r="H9" s="8"/>
      <c r="I9" s="8"/>
      <c r="J9" s="8"/>
      <c r="K9" s="8"/>
      <c r="L9" s="8" t="s">
        <v>77</v>
      </c>
      <c r="M9" s="8"/>
      <c r="N9" s="8"/>
      <c r="O9" s="8"/>
      <c r="P9" s="8"/>
      <c r="Q9" s="8"/>
      <c r="R9" s="50" t="s">
        <v>78</v>
      </c>
      <c r="S9" s="50"/>
      <c r="T9" s="51" t="s">
        <v>79</v>
      </c>
      <c r="U9" s="52"/>
      <c r="V9" s="53" t="s">
        <v>148</v>
      </c>
      <c r="W9" s="52"/>
      <c r="X9" s="30"/>
      <c r="Y9" s="30"/>
      <c r="Z9" s="8"/>
      <c r="AA9" s="8"/>
      <c r="AB9" s="25" t="s">
        <v>99</v>
      </c>
      <c r="AC9" s="8"/>
      <c r="AD9" s="8" t="s">
        <v>111</v>
      </c>
      <c r="AE9" s="8"/>
      <c r="AF9" s="8"/>
      <c r="AG9" s="8" t="s">
        <v>81</v>
      </c>
      <c r="AH9" s="10"/>
      <c r="AI9" s="10"/>
      <c r="AJ9" s="8"/>
      <c r="AK9" s="8"/>
      <c r="AL9" s="8" t="s">
        <v>81</v>
      </c>
    </row>
    <row r="10" spans="1:40" s="26" customFormat="1" x14ac:dyDescent="0.2">
      <c r="A10" t="s">
        <v>112</v>
      </c>
      <c r="B10" t="s">
        <v>83</v>
      </c>
      <c r="C10" t="s">
        <v>84</v>
      </c>
      <c r="D10" t="s">
        <v>85</v>
      </c>
      <c r="E10" t="s">
        <v>113</v>
      </c>
      <c r="F10" t="s">
        <v>84</v>
      </c>
      <c r="G10" t="s">
        <v>100</v>
      </c>
      <c r="H10" t="s">
        <v>114</v>
      </c>
      <c r="I10" t="s">
        <v>115</v>
      </c>
      <c r="J10" t="s">
        <v>89</v>
      </c>
      <c r="K10" s="27">
        <v>2018</v>
      </c>
      <c r="L10">
        <v>2018</v>
      </c>
      <c r="M10" t="s">
        <v>109</v>
      </c>
      <c r="N10"/>
      <c r="O10">
        <v>94.6</v>
      </c>
      <c r="P10" t="s">
        <v>61</v>
      </c>
      <c r="Q10" t="s">
        <v>90</v>
      </c>
      <c r="R10" t="s">
        <v>109</v>
      </c>
      <c r="S10" t="s">
        <v>61</v>
      </c>
      <c r="T10" t="s">
        <v>109</v>
      </c>
      <c r="U10" t="s">
        <v>107</v>
      </c>
      <c r="V10">
        <v>4.9297921017074069</v>
      </c>
      <c r="W10" t="s">
        <v>93</v>
      </c>
      <c r="X10"/>
      <c r="Y10"/>
      <c r="Z10" t="s">
        <v>109</v>
      </c>
      <c r="AA10"/>
      <c r="AB10">
        <v>1</v>
      </c>
      <c r="AC10" t="s">
        <v>117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/>
      <c r="AK10"/>
      <c r="AL10"/>
      <c r="AM10"/>
      <c r="AN10"/>
    </row>
    <row r="11" spans="1:40" s="26" customFormat="1" x14ac:dyDescent="0.2">
      <c r="A11" t="s">
        <v>112</v>
      </c>
      <c r="B11" t="s">
        <v>83</v>
      </c>
      <c r="C11" t="s">
        <v>84</v>
      </c>
      <c r="D11" t="s">
        <v>85</v>
      </c>
      <c r="E11" t="s">
        <v>113</v>
      </c>
      <c r="F11" t="s">
        <v>84</v>
      </c>
      <c r="G11" t="s">
        <v>100</v>
      </c>
      <c r="H11" t="s">
        <v>114</v>
      </c>
      <c r="I11" t="s">
        <v>115</v>
      </c>
      <c r="J11" t="s">
        <v>89</v>
      </c>
      <c r="K11" s="27">
        <v>2020</v>
      </c>
      <c r="L11">
        <v>2018</v>
      </c>
      <c r="M11" t="s">
        <v>109</v>
      </c>
      <c r="N11"/>
      <c r="O11">
        <v>94.6</v>
      </c>
      <c r="P11" t="s">
        <v>61</v>
      </c>
      <c r="Q11" t="s">
        <v>90</v>
      </c>
      <c r="R11" t="s">
        <v>109</v>
      </c>
      <c r="S11" t="s">
        <v>61</v>
      </c>
      <c r="T11" t="s">
        <v>109</v>
      </c>
      <c r="U11" t="s">
        <v>107</v>
      </c>
      <c r="V11" t="e">
        <f>SUMIFS([1]Data_BY!E$2:E$51,[1]Data_BY!$B$2:$B$51,[1]Import!$K7)</f>
        <v>#VALUE!</v>
      </c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</row>
    <row r="12" spans="1:40" s="26" customFormat="1" x14ac:dyDescent="0.2">
      <c r="A12"/>
      <c r="B12"/>
      <c r="C12"/>
      <c r="D12"/>
      <c r="E12"/>
      <c r="F12"/>
      <c r="G12"/>
      <c r="H12"/>
      <c r="I12"/>
      <c r="J12"/>
      <c r="K12" s="27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</row>
    <row r="13" spans="1:40" s="26" customFormat="1" x14ac:dyDescent="0.2">
      <c r="A13"/>
      <c r="B13"/>
      <c r="C13"/>
      <c r="D13"/>
      <c r="E13"/>
      <c r="F13"/>
      <c r="G13"/>
      <c r="H13"/>
      <c r="I13"/>
      <c r="J13"/>
      <c r="K13" s="27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</row>
    <row r="14" spans="1:40" s="26" customFormat="1" x14ac:dyDescent="0.2">
      <c r="A14"/>
      <c r="B14"/>
      <c r="C14"/>
      <c r="D14"/>
      <c r="E14"/>
      <c r="F14"/>
      <c r="G14"/>
      <c r="H14"/>
      <c r="I14"/>
      <c r="J14"/>
      <c r="K14" s="27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</row>
    <row r="15" spans="1:40" s="26" customFormat="1" x14ac:dyDescent="0.2">
      <c r="A15"/>
      <c r="B15"/>
      <c r="C15"/>
      <c r="D15"/>
      <c r="E15"/>
      <c r="F15"/>
      <c r="G15"/>
      <c r="H15"/>
      <c r="I15"/>
      <c r="J15"/>
      <c r="K15" s="27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</row>
    <row r="16" spans="1:40" s="26" customFormat="1" x14ac:dyDescent="0.2">
      <c r="A16"/>
      <c r="B16"/>
      <c r="C16"/>
      <c r="D16"/>
      <c r="E16"/>
      <c r="F16"/>
      <c r="G16"/>
      <c r="H16"/>
      <c r="I16"/>
      <c r="J16"/>
      <c r="K16" s="27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</row>
    <row r="17" spans="1:40" s="26" customFormat="1" x14ac:dyDescent="0.2">
      <c r="A17"/>
      <c r="B17"/>
      <c r="C17"/>
      <c r="D17"/>
      <c r="E17"/>
      <c r="F17"/>
      <c r="G17"/>
      <c r="H17"/>
      <c r="I17"/>
      <c r="J17"/>
      <c r="K17" s="2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</row>
    <row r="18" spans="1:40" s="26" customFormat="1" x14ac:dyDescent="0.2">
      <c r="A18"/>
      <c r="B18"/>
      <c r="C18"/>
      <c r="D18"/>
      <c r="E18"/>
      <c r="F18"/>
      <c r="G18"/>
      <c r="H18"/>
      <c r="I18"/>
      <c r="J18"/>
      <c r="K18" s="27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</row>
    <row r="19" spans="1:40" s="26" customFormat="1" x14ac:dyDescent="0.2">
      <c r="A19"/>
      <c r="B19"/>
      <c r="C19"/>
      <c r="D19"/>
      <c r="E19"/>
      <c r="F19"/>
      <c r="G19"/>
      <c r="H19"/>
      <c r="I19"/>
      <c r="J19"/>
      <c r="K19" s="27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</row>
    <row r="20" spans="1:40" s="26" customFormat="1" x14ac:dyDescent="0.2">
      <c r="A20"/>
      <c r="B20"/>
      <c r="C20"/>
      <c r="D20"/>
      <c r="E20"/>
      <c r="F20"/>
      <c r="G20"/>
      <c r="H20"/>
      <c r="I20"/>
      <c r="J20"/>
      <c r="K20" s="27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</row>
    <row r="21" spans="1:40" s="26" customFormat="1" x14ac:dyDescent="0.2">
      <c r="A21"/>
      <c r="B21"/>
      <c r="C21"/>
      <c r="D21"/>
      <c r="E21"/>
      <c r="F21"/>
      <c r="G21"/>
      <c r="H21"/>
      <c r="I21"/>
      <c r="J21"/>
      <c r="K21" s="27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</row>
    <row r="22" spans="1:40" x14ac:dyDescent="0.2">
      <c r="K22" s="27"/>
    </row>
    <row r="23" spans="1:40" x14ac:dyDescent="0.2">
      <c r="K23" s="27"/>
    </row>
    <row r="24" spans="1:40" x14ac:dyDescent="0.2">
      <c r="K24" s="27"/>
    </row>
    <row r="25" spans="1:40" x14ac:dyDescent="0.2">
      <c r="K25" s="27"/>
    </row>
    <row r="26" spans="1:40" x14ac:dyDescent="0.2">
      <c r="K26" s="27"/>
    </row>
    <row r="27" spans="1:40" x14ac:dyDescent="0.2">
      <c r="K27" s="27"/>
    </row>
    <row r="28" spans="1:40" x14ac:dyDescent="0.2">
      <c r="K28" s="27"/>
    </row>
    <row r="29" spans="1:40" x14ac:dyDescent="0.2">
      <c r="K29" s="27"/>
    </row>
    <row r="30" spans="1:40" x14ac:dyDescent="0.2">
      <c r="K30" s="27"/>
    </row>
    <row r="31" spans="1:40" x14ac:dyDescent="0.2">
      <c r="K31" s="27"/>
    </row>
    <row r="32" spans="1:40" x14ac:dyDescent="0.2">
      <c r="K32" s="27"/>
    </row>
    <row r="33" spans="11:11" x14ac:dyDescent="0.2">
      <c r="K33" s="27"/>
    </row>
    <row r="34" spans="11:11" x14ac:dyDescent="0.2">
      <c r="K34" s="27"/>
    </row>
    <row r="35" spans="11:11" x14ac:dyDescent="0.2">
      <c r="K35" s="27"/>
    </row>
    <row r="36" spans="11:11" x14ac:dyDescent="0.2">
      <c r="K36" s="27"/>
    </row>
  </sheetData>
  <mergeCells count="14">
    <mergeCell ref="Z1:AG1"/>
    <mergeCell ref="AH1:AI1"/>
    <mergeCell ref="AJ1:AL2"/>
    <mergeCell ref="R9:S9"/>
    <mergeCell ref="T9:U9"/>
    <mergeCell ref="V9:W9"/>
    <mergeCell ref="Z4:AG4"/>
    <mergeCell ref="AH4:AI4"/>
    <mergeCell ref="B1:F1"/>
    <mergeCell ref="H1:M1"/>
    <mergeCell ref="O1:W1"/>
    <mergeCell ref="O4:P4"/>
    <mergeCell ref="R4:U4"/>
    <mergeCell ref="V4:W4"/>
  </mergeCells>
  <phoneticPr fontId="8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92987-A24E-43BB-A70D-EB9F3F5E4169}">
  <dimension ref="A1:AN36"/>
  <sheetViews>
    <sheetView topLeftCell="R1" zoomScale="80" zoomScaleNormal="80" workbookViewId="0">
      <selection activeCell="U2" sqref="U2"/>
    </sheetView>
  </sheetViews>
  <sheetFormatPr baseColWidth="10" defaultColWidth="8.83203125" defaultRowHeight="15" x14ac:dyDescent="0.2"/>
  <cols>
    <col min="2" max="2" width="11" customWidth="1"/>
    <col min="3" max="3" width="11.5" customWidth="1"/>
    <col min="4" max="4" width="16.33203125" customWidth="1"/>
    <col min="5" max="5" width="31.33203125" customWidth="1"/>
    <col min="6" max="6" width="12.5" customWidth="1"/>
    <col min="7" max="7" width="17.83203125" customWidth="1"/>
    <col min="8" max="8" width="20" customWidth="1"/>
    <col min="9" max="9" width="44.33203125" customWidth="1"/>
    <col min="10" max="10" width="6.6640625" customWidth="1"/>
    <col min="11" max="11" width="10.83203125" customWidth="1"/>
    <col min="12" max="12" width="15.33203125" customWidth="1"/>
    <col min="13" max="14" width="12.33203125" customWidth="1"/>
    <col min="15" max="15" width="18.5" bestFit="1" customWidth="1"/>
    <col min="17" max="17" width="21.5" bestFit="1" customWidth="1"/>
    <col min="18" max="18" width="29.83203125" bestFit="1" customWidth="1"/>
    <col min="19" max="19" width="22.83203125" bestFit="1" customWidth="1"/>
    <col min="20" max="20" width="22.5" bestFit="1" customWidth="1"/>
    <col min="21" max="21" width="17" customWidth="1"/>
    <col min="22" max="22" width="16.33203125" customWidth="1"/>
    <col min="23" max="23" width="25.33203125" bestFit="1" customWidth="1"/>
    <col min="24" max="25" width="25.33203125" customWidth="1"/>
    <col min="26" max="27" width="12.33203125" customWidth="1"/>
    <col min="28" max="28" width="15.6640625" bestFit="1" customWidth="1"/>
    <col min="29" max="29" width="27.1640625" bestFit="1" customWidth="1"/>
    <col min="30" max="30" width="18.1640625" customWidth="1"/>
    <col min="31" max="31" width="27.1640625" customWidth="1"/>
    <col min="32" max="32" width="21.5" bestFit="1" customWidth="1"/>
    <col min="33" max="33" width="8.1640625" bestFit="1" customWidth="1"/>
    <col min="34" max="34" width="11.5" bestFit="1" customWidth="1"/>
    <col min="35" max="35" width="16.1640625" customWidth="1"/>
    <col min="36" max="36" width="18.5" customWidth="1"/>
    <col min="37" max="37" width="18.1640625" customWidth="1"/>
    <col min="38" max="38" width="20.83203125" bestFit="1" customWidth="1"/>
    <col min="39" max="39" width="33.5" bestFit="1" customWidth="1"/>
  </cols>
  <sheetData>
    <row r="1" spans="1:40" x14ac:dyDescent="0.2">
      <c r="B1" s="35" t="s">
        <v>0</v>
      </c>
      <c r="C1" s="35"/>
      <c r="D1" s="35"/>
      <c r="E1" s="35"/>
      <c r="F1" s="35"/>
      <c r="G1" s="2"/>
      <c r="H1" s="36" t="s">
        <v>1</v>
      </c>
      <c r="I1" s="36"/>
      <c r="J1" s="36"/>
      <c r="K1" s="36"/>
      <c r="L1" s="36"/>
      <c r="M1" s="36"/>
      <c r="N1" s="31"/>
      <c r="O1" s="38" t="s">
        <v>2</v>
      </c>
      <c r="P1" s="38"/>
      <c r="Q1" s="38"/>
      <c r="R1" s="38"/>
      <c r="S1" s="38"/>
      <c r="T1" s="38"/>
      <c r="U1" s="38"/>
      <c r="V1" s="38"/>
      <c r="W1" s="38"/>
      <c r="X1" s="29"/>
      <c r="Y1" s="29"/>
      <c r="Z1" s="36" t="s">
        <v>3</v>
      </c>
      <c r="AA1" s="36"/>
      <c r="AB1" s="36"/>
      <c r="AC1" s="36"/>
      <c r="AD1" s="36"/>
      <c r="AE1" s="36"/>
      <c r="AF1" s="36"/>
      <c r="AG1" s="37"/>
      <c r="AH1" s="42" t="s">
        <v>4</v>
      </c>
      <c r="AI1" s="43"/>
      <c r="AJ1" s="46" t="s">
        <v>5</v>
      </c>
      <c r="AK1" s="47"/>
      <c r="AL1" s="47"/>
      <c r="AM1" s="9"/>
    </row>
    <row r="2" spans="1:40" ht="32" x14ac:dyDescent="0.2">
      <c r="A2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4" t="s">
        <v>13</v>
      </c>
      <c r="I2" s="4" t="s">
        <v>14</v>
      </c>
      <c r="J2" s="4" t="s">
        <v>15</v>
      </c>
      <c r="K2" s="4" t="s">
        <v>16</v>
      </c>
      <c r="L2" s="4" t="s">
        <v>17</v>
      </c>
      <c r="M2" s="4" t="s">
        <v>18</v>
      </c>
      <c r="N2" s="34" t="s">
        <v>151</v>
      </c>
      <c r="O2" s="5" t="s">
        <v>19</v>
      </c>
      <c r="P2" s="5" t="s">
        <v>20</v>
      </c>
      <c r="Q2" s="5" t="s">
        <v>21</v>
      </c>
      <c r="R2" s="5" t="s">
        <v>22</v>
      </c>
      <c r="S2" s="5" t="s">
        <v>23</v>
      </c>
      <c r="T2" s="5" t="s">
        <v>24</v>
      </c>
      <c r="U2" s="5" t="s">
        <v>25</v>
      </c>
      <c r="V2" s="5" t="s">
        <v>26</v>
      </c>
      <c r="W2" s="5" t="s">
        <v>27</v>
      </c>
      <c r="X2" s="34" t="s">
        <v>125</v>
      </c>
      <c r="Y2" s="34" t="s">
        <v>126</v>
      </c>
      <c r="Z2" s="4" t="s">
        <v>28</v>
      </c>
      <c r="AA2" s="33" t="s">
        <v>124</v>
      </c>
      <c r="AB2" s="4" t="s">
        <v>29</v>
      </c>
      <c r="AC2" s="13" t="s">
        <v>30</v>
      </c>
      <c r="AD2" s="13"/>
      <c r="AE2" s="13"/>
      <c r="AF2" s="4" t="s">
        <v>96</v>
      </c>
      <c r="AG2" s="16" t="s">
        <v>31</v>
      </c>
      <c r="AH2" s="14" t="s">
        <v>32</v>
      </c>
      <c r="AI2" s="12" t="s">
        <v>33</v>
      </c>
      <c r="AJ2" s="48"/>
      <c r="AK2" s="49"/>
      <c r="AL2" s="49"/>
    </row>
    <row r="3" spans="1:40" x14ac:dyDescent="0.2">
      <c r="A3" t="s">
        <v>34</v>
      </c>
      <c r="B3" s="3"/>
      <c r="C3" s="3"/>
      <c r="D3" s="3"/>
      <c r="E3" s="3"/>
      <c r="F3" s="3"/>
      <c r="G3" s="3"/>
      <c r="H3" s="4"/>
      <c r="I3" s="4"/>
      <c r="J3" s="4"/>
      <c r="K3" s="4"/>
      <c r="L3" s="4"/>
      <c r="M3" s="4"/>
      <c r="N3" s="4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4"/>
      <c r="AA3" s="4"/>
      <c r="AB3" s="4"/>
      <c r="AC3" s="13"/>
      <c r="AD3" s="13"/>
      <c r="AE3" s="13"/>
      <c r="AF3" s="4"/>
      <c r="AG3" s="23"/>
      <c r="AH3" s="14"/>
      <c r="AI3" s="24" t="s">
        <v>102</v>
      </c>
      <c r="AJ3" s="17"/>
      <c r="AK3" s="20"/>
      <c r="AL3" s="20"/>
    </row>
    <row r="4" spans="1:40" hidden="1" x14ac:dyDescent="0.2">
      <c r="A4" t="s">
        <v>35</v>
      </c>
      <c r="B4" s="3" t="s">
        <v>36</v>
      </c>
      <c r="C4" s="3" t="s">
        <v>36</v>
      </c>
      <c r="D4" s="3" t="s">
        <v>37</v>
      </c>
      <c r="E4" s="3" t="s">
        <v>36</v>
      </c>
      <c r="F4" s="3" t="s">
        <v>36</v>
      </c>
      <c r="G4" s="3"/>
      <c r="H4" s="4" t="s">
        <v>38</v>
      </c>
      <c r="I4" s="4" t="s">
        <v>39</v>
      </c>
      <c r="J4" s="4" t="s">
        <v>40</v>
      </c>
      <c r="K4" s="4" t="s">
        <v>41</v>
      </c>
      <c r="L4" s="4" t="s">
        <v>17</v>
      </c>
      <c r="M4" s="4" t="s">
        <v>42</v>
      </c>
      <c r="N4" s="4"/>
      <c r="O4" s="39" t="s">
        <v>43</v>
      </c>
      <c r="P4" s="39"/>
      <c r="Q4" s="6"/>
      <c r="R4" s="39" t="s">
        <v>44</v>
      </c>
      <c r="S4" s="39"/>
      <c r="T4" s="39"/>
      <c r="U4" s="39"/>
      <c r="V4" s="39" t="s">
        <v>45</v>
      </c>
      <c r="W4" s="39"/>
      <c r="X4" s="6"/>
      <c r="Y4" s="6"/>
      <c r="Z4" s="40" t="s">
        <v>46</v>
      </c>
      <c r="AA4" s="40"/>
      <c r="AB4" s="40"/>
      <c r="AC4" s="40"/>
      <c r="AD4" s="40"/>
      <c r="AE4" s="40"/>
      <c r="AF4" s="40"/>
      <c r="AG4" s="41"/>
      <c r="AH4" s="44" t="s">
        <v>47</v>
      </c>
      <c r="AI4" s="45"/>
      <c r="AJ4" s="18" t="s">
        <v>48</v>
      </c>
      <c r="AK4" s="19" t="s">
        <v>49</v>
      </c>
      <c r="AL4" s="19" t="s">
        <v>32</v>
      </c>
    </row>
    <row r="5" spans="1:40" hidden="1" x14ac:dyDescent="0.2">
      <c r="A5" t="s">
        <v>50</v>
      </c>
      <c r="B5" s="3"/>
      <c r="C5" s="3"/>
      <c r="D5" s="3"/>
      <c r="E5" s="3"/>
      <c r="F5" s="3"/>
      <c r="G5" s="3"/>
      <c r="H5" s="4"/>
      <c r="I5" s="4"/>
      <c r="J5" s="4"/>
      <c r="K5" s="4"/>
      <c r="L5" s="4"/>
      <c r="M5" s="4"/>
      <c r="N5" s="4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7"/>
      <c r="AA5" s="7"/>
      <c r="AB5" s="7"/>
      <c r="AC5" s="7"/>
      <c r="AD5" s="7"/>
      <c r="AE5" s="7"/>
      <c r="AF5" s="7"/>
      <c r="AG5" s="11"/>
      <c r="AH5" s="21"/>
      <c r="AI5" s="22"/>
      <c r="AJ5" s="18"/>
      <c r="AK5" s="19"/>
      <c r="AL5" s="19"/>
    </row>
    <row r="6" spans="1:40" hidden="1" x14ac:dyDescent="0.2">
      <c r="A6" t="s">
        <v>51</v>
      </c>
      <c r="B6" s="3"/>
      <c r="C6" s="3"/>
      <c r="D6" s="3"/>
      <c r="E6" s="3"/>
      <c r="F6" s="3"/>
      <c r="G6" s="3"/>
      <c r="H6" s="4"/>
      <c r="I6" s="4"/>
      <c r="J6" s="4"/>
      <c r="K6" s="4"/>
      <c r="L6" s="4"/>
      <c r="M6" s="4"/>
      <c r="N6" s="4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7"/>
      <c r="AA6" s="7"/>
      <c r="AB6" s="7"/>
      <c r="AC6" s="7"/>
      <c r="AD6" s="7"/>
      <c r="AE6" s="7"/>
      <c r="AF6" s="7"/>
      <c r="AG6" s="11"/>
      <c r="AH6" s="21"/>
      <c r="AI6" s="22"/>
      <c r="AJ6" s="18"/>
      <c r="AK6" s="19"/>
      <c r="AL6" s="19"/>
    </row>
    <row r="7" spans="1:40" hidden="1" x14ac:dyDescent="0.2">
      <c r="A7" t="s">
        <v>52</v>
      </c>
      <c r="B7" s="3"/>
      <c r="C7" s="3"/>
      <c r="D7" s="3"/>
      <c r="E7" s="3"/>
      <c r="F7" s="3"/>
      <c r="G7" s="3"/>
      <c r="H7" s="4"/>
      <c r="I7" s="4"/>
      <c r="J7" s="4"/>
      <c r="K7" s="4"/>
      <c r="L7" s="4"/>
      <c r="M7" s="4"/>
      <c r="N7" s="4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7"/>
      <c r="AA7" s="7"/>
      <c r="AB7" s="7"/>
      <c r="AC7" s="7"/>
      <c r="AD7" s="7"/>
      <c r="AE7" s="7"/>
      <c r="AF7" s="7"/>
      <c r="AG7" s="11"/>
      <c r="AH7" s="21"/>
      <c r="AI7" s="22"/>
      <c r="AJ7" s="18"/>
      <c r="AK7" s="19"/>
      <c r="AL7" s="19"/>
    </row>
    <row r="8" spans="1:40" ht="96" x14ac:dyDescent="0.2">
      <c r="A8" t="s">
        <v>53</v>
      </c>
      <c r="B8" s="8" t="s">
        <v>36</v>
      </c>
      <c r="C8" s="8" t="s">
        <v>36</v>
      </c>
      <c r="D8" s="8" t="s">
        <v>54</v>
      </c>
      <c r="E8" s="8"/>
      <c r="F8" s="8" t="s">
        <v>36</v>
      </c>
      <c r="G8" s="8"/>
      <c r="H8" s="8" t="s">
        <v>55</v>
      </c>
      <c r="I8" s="8" t="s">
        <v>56</v>
      </c>
      <c r="J8" s="8" t="s">
        <v>57</v>
      </c>
      <c r="K8" s="8" t="s">
        <v>41</v>
      </c>
      <c r="L8" s="8" t="s">
        <v>58</v>
      </c>
      <c r="M8" s="8" t="s">
        <v>59</v>
      </c>
      <c r="N8" s="8"/>
      <c r="O8" s="8" t="s">
        <v>60</v>
      </c>
      <c r="P8" s="8" t="s">
        <v>61</v>
      </c>
      <c r="Q8" s="8" t="s">
        <v>62</v>
      </c>
      <c r="R8" s="8" t="s">
        <v>63</v>
      </c>
      <c r="S8" s="8" t="s">
        <v>64</v>
      </c>
      <c r="T8" s="8" t="s">
        <v>65</v>
      </c>
      <c r="U8" s="8" t="s">
        <v>66</v>
      </c>
      <c r="V8" s="8" t="s">
        <v>67</v>
      </c>
      <c r="W8" s="8" t="s">
        <v>68</v>
      </c>
      <c r="X8" s="8"/>
      <c r="Y8" s="8"/>
      <c r="Z8" s="8" t="s">
        <v>69</v>
      </c>
      <c r="AA8" s="8"/>
      <c r="AB8" s="8" t="s">
        <v>70</v>
      </c>
      <c r="AC8" s="8" t="s">
        <v>71</v>
      </c>
      <c r="AD8" s="32" t="s">
        <v>110</v>
      </c>
      <c r="AE8" s="8" t="s">
        <v>101</v>
      </c>
      <c r="AF8" s="8" t="s">
        <v>95</v>
      </c>
      <c r="AG8" s="8"/>
      <c r="AH8" s="10" t="s">
        <v>72</v>
      </c>
      <c r="AI8" s="10"/>
      <c r="AJ8" s="15" t="s">
        <v>73</v>
      </c>
      <c r="AK8" s="15" t="s">
        <v>74</v>
      </c>
      <c r="AL8" s="15" t="s">
        <v>75</v>
      </c>
    </row>
    <row r="9" spans="1:40" ht="32" x14ac:dyDescent="0.2">
      <c r="A9" t="s">
        <v>76</v>
      </c>
      <c r="B9" s="8"/>
      <c r="C9" s="8"/>
      <c r="D9" s="8"/>
      <c r="E9" s="8"/>
      <c r="F9" s="8"/>
      <c r="G9" s="8"/>
      <c r="H9" s="8"/>
      <c r="I9" s="8"/>
      <c r="J9" s="8"/>
      <c r="K9" s="8"/>
      <c r="L9" s="8" t="s">
        <v>77</v>
      </c>
      <c r="M9" s="8"/>
      <c r="N9" s="8"/>
      <c r="O9" s="8"/>
      <c r="P9" s="8"/>
      <c r="Q9" s="8"/>
      <c r="R9" s="50" t="s">
        <v>78</v>
      </c>
      <c r="S9" s="50"/>
      <c r="T9" s="51" t="s">
        <v>79</v>
      </c>
      <c r="U9" s="52"/>
      <c r="V9" s="51" t="s">
        <v>159</v>
      </c>
      <c r="W9" s="52"/>
      <c r="X9" s="30"/>
      <c r="Y9" s="30"/>
      <c r="Z9" s="8"/>
      <c r="AA9" s="8"/>
      <c r="AB9" s="25" t="s">
        <v>99</v>
      </c>
      <c r="AC9" s="8"/>
      <c r="AD9" s="8" t="s">
        <v>111</v>
      </c>
      <c r="AE9" s="8"/>
      <c r="AF9" s="8"/>
      <c r="AG9" s="8" t="s">
        <v>81</v>
      </c>
      <c r="AH9" s="10" t="s">
        <v>61</v>
      </c>
      <c r="AI9" s="10"/>
      <c r="AJ9" s="8"/>
      <c r="AK9" s="8"/>
      <c r="AL9" s="8" t="s">
        <v>81</v>
      </c>
    </row>
    <row r="10" spans="1:40" s="26" customFormat="1" x14ac:dyDescent="0.2">
      <c r="A10" t="s">
        <v>127</v>
      </c>
      <c r="B10" t="s">
        <v>83</v>
      </c>
      <c r="C10" t="s">
        <v>84</v>
      </c>
      <c r="D10" t="s">
        <v>85</v>
      </c>
      <c r="E10" t="s">
        <v>119</v>
      </c>
      <c r="F10" t="s">
        <v>84</v>
      </c>
      <c r="G10" t="s">
        <v>100</v>
      </c>
      <c r="H10" t="s">
        <v>120</v>
      </c>
      <c r="I10" t="s">
        <v>121</v>
      </c>
      <c r="J10" t="s">
        <v>89</v>
      </c>
      <c r="K10" s="27">
        <v>2018</v>
      </c>
      <c r="L10">
        <v>2018</v>
      </c>
      <c r="M10">
        <v>10</v>
      </c>
      <c r="N10">
        <v>0</v>
      </c>
      <c r="O10">
        <v>69.3</v>
      </c>
      <c r="P10" t="s">
        <v>61</v>
      </c>
      <c r="Q10" t="s">
        <v>90</v>
      </c>
      <c r="R10">
        <v>455.07733130928699</v>
      </c>
      <c r="S10" t="s">
        <v>61</v>
      </c>
      <c r="T10">
        <v>43.188372760276401</v>
      </c>
      <c r="U10" t="s">
        <v>107</v>
      </c>
      <c r="V10">
        <v>4.9297921017074069</v>
      </c>
      <c r="W10" t="s">
        <v>93</v>
      </c>
      <c r="X10">
        <v>346.91130635905802</v>
      </c>
      <c r="Y10"/>
      <c r="Z10" t="s">
        <v>122</v>
      </c>
      <c r="AA10">
        <v>1</v>
      </c>
      <c r="AB10">
        <v>1</v>
      </c>
      <c r="AC10" t="s">
        <v>123</v>
      </c>
      <c r="AD10">
        <v>697.32498210112703</v>
      </c>
      <c r="AE10" t="s">
        <v>109</v>
      </c>
      <c r="AF10">
        <v>1</v>
      </c>
      <c r="AG10" t="s">
        <v>109</v>
      </c>
      <c r="AH10">
        <v>29.195602350609999</v>
      </c>
      <c r="AI10" t="s">
        <v>98</v>
      </c>
      <c r="AJ10"/>
      <c r="AK10"/>
      <c r="AL10"/>
      <c r="AM10"/>
      <c r="AN10"/>
    </row>
    <row r="11" spans="1:40" s="26" customFormat="1" x14ac:dyDescent="0.2">
      <c r="A11"/>
      <c r="B11"/>
      <c r="C11"/>
      <c r="D11"/>
      <c r="E11"/>
      <c r="F11"/>
      <c r="G11"/>
      <c r="H11"/>
      <c r="I11"/>
      <c r="J11"/>
      <c r="K11" s="27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</row>
    <row r="12" spans="1:40" s="26" customFormat="1" x14ac:dyDescent="0.2">
      <c r="A12"/>
      <c r="B12"/>
      <c r="C12"/>
      <c r="D12"/>
      <c r="E12"/>
      <c r="F12"/>
      <c r="G12"/>
      <c r="H12"/>
      <c r="I12"/>
      <c r="J12"/>
      <c r="K12" s="27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</row>
    <row r="13" spans="1:40" s="26" customFormat="1" x14ac:dyDescent="0.2">
      <c r="A13"/>
      <c r="B13"/>
      <c r="C13"/>
      <c r="D13"/>
      <c r="E13"/>
      <c r="F13"/>
      <c r="G13"/>
      <c r="H13"/>
      <c r="I13"/>
      <c r="J13"/>
      <c r="K13" s="27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</row>
    <row r="14" spans="1:40" s="26" customFormat="1" x14ac:dyDescent="0.2">
      <c r="A14"/>
      <c r="B14"/>
      <c r="C14"/>
      <c r="D14"/>
      <c r="E14"/>
      <c r="F14"/>
      <c r="G14"/>
      <c r="H14"/>
      <c r="I14"/>
      <c r="J14"/>
      <c r="K14" s="27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</row>
    <row r="15" spans="1:40" s="26" customFormat="1" x14ac:dyDescent="0.2">
      <c r="A15"/>
      <c r="B15"/>
      <c r="C15"/>
      <c r="D15"/>
      <c r="E15"/>
      <c r="F15"/>
      <c r="G15"/>
      <c r="H15"/>
      <c r="I15"/>
      <c r="J15"/>
      <c r="K15" s="27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</row>
    <row r="16" spans="1:40" s="26" customFormat="1" x14ac:dyDescent="0.2">
      <c r="A16"/>
      <c r="B16"/>
      <c r="C16"/>
      <c r="D16"/>
      <c r="E16"/>
      <c r="F16"/>
      <c r="G16"/>
      <c r="H16"/>
      <c r="I16"/>
      <c r="J16"/>
      <c r="K16" s="27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</row>
    <row r="17" spans="1:40" s="26" customFormat="1" x14ac:dyDescent="0.2">
      <c r="A17"/>
      <c r="B17"/>
      <c r="C17"/>
      <c r="D17"/>
      <c r="E17"/>
      <c r="F17"/>
      <c r="G17"/>
      <c r="H17"/>
      <c r="I17"/>
      <c r="J17"/>
      <c r="K17" s="2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</row>
    <row r="18" spans="1:40" s="26" customFormat="1" x14ac:dyDescent="0.2">
      <c r="A18"/>
      <c r="B18"/>
      <c r="C18"/>
      <c r="D18"/>
      <c r="E18"/>
      <c r="F18"/>
      <c r="G18"/>
      <c r="H18"/>
      <c r="I18"/>
      <c r="J18"/>
      <c r="K18" s="27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</row>
    <row r="19" spans="1:40" s="26" customFormat="1" x14ac:dyDescent="0.2">
      <c r="A19"/>
      <c r="B19"/>
      <c r="C19"/>
      <c r="D19"/>
      <c r="E19"/>
      <c r="F19"/>
      <c r="G19"/>
      <c r="H19"/>
      <c r="I19"/>
      <c r="J19"/>
      <c r="K19" s="27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</row>
    <row r="20" spans="1:40" s="26" customFormat="1" x14ac:dyDescent="0.2">
      <c r="A20"/>
      <c r="B20"/>
      <c r="C20"/>
      <c r="D20"/>
      <c r="E20"/>
      <c r="F20"/>
      <c r="G20"/>
      <c r="H20"/>
      <c r="I20"/>
      <c r="J20"/>
      <c r="K20" s="27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</row>
    <row r="21" spans="1:40" s="26" customFormat="1" x14ac:dyDescent="0.2">
      <c r="A21"/>
      <c r="B21"/>
      <c r="C21"/>
      <c r="D21"/>
      <c r="E21"/>
      <c r="F21"/>
      <c r="G21"/>
      <c r="H21"/>
      <c r="I21"/>
      <c r="J21"/>
      <c r="K21" s="27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</row>
    <row r="22" spans="1:40" x14ac:dyDescent="0.2">
      <c r="K22" s="27"/>
    </row>
    <row r="23" spans="1:40" x14ac:dyDescent="0.2">
      <c r="K23" s="27"/>
    </row>
    <row r="24" spans="1:40" x14ac:dyDescent="0.2">
      <c r="K24" s="27"/>
    </row>
    <row r="25" spans="1:40" x14ac:dyDescent="0.2">
      <c r="K25" s="27"/>
    </row>
    <row r="26" spans="1:40" x14ac:dyDescent="0.2">
      <c r="K26" s="27"/>
    </row>
    <row r="27" spans="1:40" x14ac:dyDescent="0.2">
      <c r="K27" s="27"/>
    </row>
    <row r="28" spans="1:40" x14ac:dyDescent="0.2">
      <c r="K28" s="27"/>
    </row>
    <row r="29" spans="1:40" x14ac:dyDescent="0.2">
      <c r="K29" s="27"/>
    </row>
    <row r="30" spans="1:40" x14ac:dyDescent="0.2">
      <c r="K30" s="27"/>
    </row>
    <row r="31" spans="1:40" x14ac:dyDescent="0.2">
      <c r="K31" s="27"/>
    </row>
    <row r="32" spans="1:40" x14ac:dyDescent="0.2">
      <c r="K32" s="27"/>
    </row>
    <row r="33" spans="11:11" x14ac:dyDescent="0.2">
      <c r="K33" s="27"/>
    </row>
    <row r="34" spans="11:11" x14ac:dyDescent="0.2">
      <c r="K34" s="27"/>
    </row>
    <row r="35" spans="11:11" x14ac:dyDescent="0.2">
      <c r="K35" s="27"/>
    </row>
    <row r="36" spans="11:11" x14ac:dyDescent="0.2">
      <c r="K36" s="27"/>
    </row>
  </sheetData>
  <mergeCells count="14">
    <mergeCell ref="Z1:AG1"/>
    <mergeCell ref="AH1:AI1"/>
    <mergeCell ref="AJ1:AL2"/>
    <mergeCell ref="R9:S9"/>
    <mergeCell ref="T9:U9"/>
    <mergeCell ref="V9:W9"/>
    <mergeCell ref="Z4:AG4"/>
    <mergeCell ref="AH4:AI4"/>
    <mergeCell ref="B1:F1"/>
    <mergeCell ref="H1:M1"/>
    <mergeCell ref="O1:W1"/>
    <mergeCell ref="O4:P4"/>
    <mergeCell ref="R4:U4"/>
    <mergeCell ref="V4:W4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9A86A-2D31-4039-9B7C-0CFDBB6F8338}">
  <dimension ref="A1:AN36"/>
  <sheetViews>
    <sheetView topLeftCell="B1" zoomScale="80" zoomScaleNormal="80" workbookViewId="0">
      <selection activeCell="N2" sqref="N2"/>
    </sheetView>
  </sheetViews>
  <sheetFormatPr baseColWidth="10" defaultColWidth="8.83203125" defaultRowHeight="15" x14ac:dyDescent="0.2"/>
  <cols>
    <col min="2" max="2" width="11" customWidth="1"/>
    <col min="3" max="3" width="11.5" customWidth="1"/>
    <col min="4" max="4" width="16.33203125" customWidth="1"/>
    <col min="5" max="5" width="31.33203125" customWidth="1"/>
    <col min="6" max="6" width="12.5" customWidth="1"/>
    <col min="7" max="7" width="17.83203125" customWidth="1"/>
    <col min="8" max="8" width="20" customWidth="1"/>
    <col min="9" max="9" width="44.33203125" customWidth="1"/>
    <col min="10" max="10" width="6.6640625" customWidth="1"/>
    <col min="11" max="11" width="10.83203125" customWidth="1"/>
    <col min="12" max="12" width="15.33203125" customWidth="1"/>
    <col min="13" max="14" width="12.33203125" customWidth="1"/>
    <col min="15" max="15" width="18.5" bestFit="1" customWidth="1"/>
    <col min="17" max="17" width="21.5" bestFit="1" customWidth="1"/>
    <col min="18" max="18" width="29.83203125" bestFit="1" customWidth="1"/>
    <col min="19" max="19" width="22.83203125" bestFit="1" customWidth="1"/>
    <col min="20" max="20" width="22.5" bestFit="1" customWidth="1"/>
    <col min="21" max="21" width="17" customWidth="1"/>
    <col min="22" max="22" width="16.33203125" customWidth="1"/>
    <col min="23" max="23" width="25.33203125" bestFit="1" customWidth="1"/>
    <col min="24" max="25" width="25.33203125" customWidth="1"/>
    <col min="26" max="27" width="12.33203125" customWidth="1"/>
    <col min="28" max="28" width="15.6640625" bestFit="1" customWidth="1"/>
    <col min="29" max="29" width="27.1640625" bestFit="1" customWidth="1"/>
    <col min="30" max="30" width="18.1640625" customWidth="1"/>
    <col min="31" max="31" width="27.1640625" customWidth="1"/>
    <col min="32" max="32" width="21.5" bestFit="1" customWidth="1"/>
    <col min="33" max="33" width="8.1640625" bestFit="1" customWidth="1"/>
    <col min="34" max="34" width="11.5" bestFit="1" customWidth="1"/>
    <col min="35" max="35" width="16.1640625" customWidth="1"/>
    <col min="36" max="36" width="18.5" customWidth="1"/>
    <col min="37" max="37" width="18.1640625" customWidth="1"/>
    <col min="38" max="38" width="20.83203125" bestFit="1" customWidth="1"/>
    <col min="39" max="39" width="33.5" bestFit="1" customWidth="1"/>
  </cols>
  <sheetData>
    <row r="1" spans="1:40" x14ac:dyDescent="0.2">
      <c r="B1" s="35" t="s">
        <v>0</v>
      </c>
      <c r="C1" s="35"/>
      <c r="D1" s="35"/>
      <c r="E1" s="35"/>
      <c r="F1" s="35"/>
      <c r="G1" s="2"/>
      <c r="H1" s="36" t="s">
        <v>1</v>
      </c>
      <c r="I1" s="36"/>
      <c r="J1" s="36"/>
      <c r="K1" s="36"/>
      <c r="L1" s="36"/>
      <c r="M1" s="36"/>
      <c r="N1" s="31"/>
      <c r="O1" s="38" t="s">
        <v>2</v>
      </c>
      <c r="P1" s="38"/>
      <c r="Q1" s="38"/>
      <c r="R1" s="38"/>
      <c r="S1" s="38"/>
      <c r="T1" s="38"/>
      <c r="U1" s="38"/>
      <c r="V1" s="38"/>
      <c r="W1" s="38"/>
      <c r="X1" s="29"/>
      <c r="Y1" s="29"/>
      <c r="Z1" s="36" t="s">
        <v>3</v>
      </c>
      <c r="AA1" s="36"/>
      <c r="AB1" s="36"/>
      <c r="AC1" s="36"/>
      <c r="AD1" s="36"/>
      <c r="AE1" s="36"/>
      <c r="AF1" s="36"/>
      <c r="AG1" s="37"/>
      <c r="AH1" s="42" t="s">
        <v>4</v>
      </c>
      <c r="AI1" s="43"/>
      <c r="AJ1" s="46" t="s">
        <v>5</v>
      </c>
      <c r="AK1" s="47"/>
      <c r="AL1" s="47"/>
      <c r="AM1" s="9"/>
    </row>
    <row r="2" spans="1:40" ht="32" x14ac:dyDescent="0.2">
      <c r="A2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4" t="s">
        <v>13</v>
      </c>
      <c r="I2" s="4" t="s">
        <v>14</v>
      </c>
      <c r="J2" s="4" t="s">
        <v>15</v>
      </c>
      <c r="K2" s="4" t="s">
        <v>16</v>
      </c>
      <c r="L2" s="4" t="s">
        <v>17</v>
      </c>
      <c r="M2" s="4" t="s">
        <v>18</v>
      </c>
      <c r="N2" s="34" t="s">
        <v>151</v>
      </c>
      <c r="O2" s="5" t="s">
        <v>19</v>
      </c>
      <c r="P2" s="5" t="s">
        <v>20</v>
      </c>
      <c r="Q2" s="5" t="s">
        <v>21</v>
      </c>
      <c r="R2" s="5" t="s">
        <v>22</v>
      </c>
      <c r="S2" s="5" t="s">
        <v>23</v>
      </c>
      <c r="T2" s="5" t="s">
        <v>24</v>
      </c>
      <c r="U2" s="5" t="s">
        <v>25</v>
      </c>
      <c r="V2" s="5" t="s">
        <v>26</v>
      </c>
      <c r="W2" s="5" t="s">
        <v>27</v>
      </c>
      <c r="X2" s="34" t="s">
        <v>125</v>
      </c>
      <c r="Y2" s="34" t="s">
        <v>126</v>
      </c>
      <c r="Z2" s="4" t="s">
        <v>28</v>
      </c>
      <c r="AA2" s="33" t="s">
        <v>124</v>
      </c>
      <c r="AB2" s="4" t="s">
        <v>29</v>
      </c>
      <c r="AC2" s="13" t="s">
        <v>30</v>
      </c>
      <c r="AD2" s="13"/>
      <c r="AE2" s="13"/>
      <c r="AF2" s="4" t="s">
        <v>96</v>
      </c>
      <c r="AG2" s="16" t="s">
        <v>31</v>
      </c>
      <c r="AH2" s="14" t="s">
        <v>32</v>
      </c>
      <c r="AI2" s="12" t="s">
        <v>33</v>
      </c>
      <c r="AJ2" s="48"/>
      <c r="AK2" s="49"/>
      <c r="AL2" s="49"/>
    </row>
    <row r="3" spans="1:40" x14ac:dyDescent="0.2">
      <c r="A3" t="s">
        <v>34</v>
      </c>
      <c r="B3" s="3"/>
      <c r="C3" s="3"/>
      <c r="D3" s="3"/>
      <c r="E3" s="3"/>
      <c r="F3" s="3"/>
      <c r="G3" s="3"/>
      <c r="H3" s="4"/>
      <c r="I3" s="4"/>
      <c r="J3" s="4"/>
      <c r="K3" s="4"/>
      <c r="L3" s="4"/>
      <c r="M3" s="4"/>
      <c r="N3" s="4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4"/>
      <c r="AA3" s="4"/>
      <c r="AB3" s="4"/>
      <c r="AC3" s="13"/>
      <c r="AD3" s="13"/>
      <c r="AE3" s="13"/>
      <c r="AF3" s="4"/>
      <c r="AG3" s="23"/>
      <c r="AH3" s="14"/>
      <c r="AI3" s="24" t="s">
        <v>102</v>
      </c>
      <c r="AJ3" s="17"/>
      <c r="AK3" s="20"/>
      <c r="AL3" s="20"/>
    </row>
    <row r="4" spans="1:40" hidden="1" x14ac:dyDescent="0.2">
      <c r="A4" t="s">
        <v>35</v>
      </c>
      <c r="B4" s="3" t="s">
        <v>36</v>
      </c>
      <c r="C4" s="3" t="s">
        <v>36</v>
      </c>
      <c r="D4" s="3" t="s">
        <v>37</v>
      </c>
      <c r="E4" s="3" t="s">
        <v>36</v>
      </c>
      <c r="F4" s="3" t="s">
        <v>36</v>
      </c>
      <c r="G4" s="3"/>
      <c r="H4" s="4" t="s">
        <v>38</v>
      </c>
      <c r="I4" s="4" t="s">
        <v>39</v>
      </c>
      <c r="J4" s="4" t="s">
        <v>40</v>
      </c>
      <c r="K4" s="4" t="s">
        <v>41</v>
      </c>
      <c r="L4" s="4" t="s">
        <v>17</v>
      </c>
      <c r="M4" s="4" t="s">
        <v>42</v>
      </c>
      <c r="N4" s="4"/>
      <c r="O4" s="39" t="s">
        <v>43</v>
      </c>
      <c r="P4" s="39"/>
      <c r="Q4" s="6"/>
      <c r="R4" s="39" t="s">
        <v>44</v>
      </c>
      <c r="S4" s="39"/>
      <c r="T4" s="39"/>
      <c r="U4" s="39"/>
      <c r="V4" s="39" t="s">
        <v>45</v>
      </c>
      <c r="W4" s="39"/>
      <c r="X4" s="6"/>
      <c r="Y4" s="6"/>
      <c r="Z4" s="40" t="s">
        <v>46</v>
      </c>
      <c r="AA4" s="40"/>
      <c r="AB4" s="40"/>
      <c r="AC4" s="40"/>
      <c r="AD4" s="40"/>
      <c r="AE4" s="40"/>
      <c r="AF4" s="40"/>
      <c r="AG4" s="41"/>
      <c r="AH4" s="44" t="s">
        <v>47</v>
      </c>
      <c r="AI4" s="45"/>
      <c r="AJ4" s="18" t="s">
        <v>48</v>
      </c>
      <c r="AK4" s="19" t="s">
        <v>49</v>
      </c>
      <c r="AL4" s="19" t="s">
        <v>32</v>
      </c>
    </row>
    <row r="5" spans="1:40" hidden="1" x14ac:dyDescent="0.2">
      <c r="A5" t="s">
        <v>50</v>
      </c>
      <c r="B5" s="3"/>
      <c r="C5" s="3"/>
      <c r="D5" s="3"/>
      <c r="E5" s="3"/>
      <c r="F5" s="3"/>
      <c r="G5" s="3"/>
      <c r="H5" s="4"/>
      <c r="I5" s="4"/>
      <c r="J5" s="4"/>
      <c r="K5" s="4"/>
      <c r="L5" s="4"/>
      <c r="M5" s="4"/>
      <c r="N5" s="4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7"/>
      <c r="AA5" s="7"/>
      <c r="AB5" s="7"/>
      <c r="AC5" s="7"/>
      <c r="AD5" s="7"/>
      <c r="AE5" s="7"/>
      <c r="AF5" s="7"/>
      <c r="AG5" s="11"/>
      <c r="AH5" s="21"/>
      <c r="AI5" s="22"/>
      <c r="AJ5" s="18"/>
      <c r="AK5" s="19"/>
      <c r="AL5" s="19"/>
    </row>
    <row r="6" spans="1:40" hidden="1" x14ac:dyDescent="0.2">
      <c r="A6" t="s">
        <v>51</v>
      </c>
      <c r="B6" s="3"/>
      <c r="C6" s="3"/>
      <c r="D6" s="3"/>
      <c r="E6" s="3"/>
      <c r="F6" s="3"/>
      <c r="G6" s="3"/>
      <c r="H6" s="4"/>
      <c r="I6" s="4"/>
      <c r="J6" s="4"/>
      <c r="K6" s="4"/>
      <c r="L6" s="4"/>
      <c r="M6" s="4"/>
      <c r="N6" s="4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7"/>
      <c r="AA6" s="7"/>
      <c r="AB6" s="7"/>
      <c r="AC6" s="7"/>
      <c r="AD6" s="7"/>
      <c r="AE6" s="7"/>
      <c r="AF6" s="7"/>
      <c r="AG6" s="11"/>
      <c r="AH6" s="21"/>
      <c r="AI6" s="22"/>
      <c r="AJ6" s="18"/>
      <c r="AK6" s="19"/>
      <c r="AL6" s="19"/>
    </row>
    <row r="7" spans="1:40" hidden="1" x14ac:dyDescent="0.2">
      <c r="A7" t="s">
        <v>52</v>
      </c>
      <c r="B7" s="3"/>
      <c r="C7" s="3"/>
      <c r="D7" s="3"/>
      <c r="E7" s="3"/>
      <c r="F7" s="3"/>
      <c r="G7" s="3"/>
      <c r="H7" s="4"/>
      <c r="I7" s="4"/>
      <c r="J7" s="4"/>
      <c r="K7" s="4"/>
      <c r="L7" s="4"/>
      <c r="M7" s="4"/>
      <c r="N7" s="4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7"/>
      <c r="AA7" s="7"/>
      <c r="AB7" s="7"/>
      <c r="AC7" s="7"/>
      <c r="AD7" s="7"/>
      <c r="AE7" s="7"/>
      <c r="AF7" s="7"/>
      <c r="AG7" s="11"/>
      <c r="AH7" s="21"/>
      <c r="AI7" s="22"/>
      <c r="AJ7" s="18"/>
      <c r="AK7" s="19"/>
      <c r="AL7" s="19"/>
    </row>
    <row r="8" spans="1:40" ht="96" x14ac:dyDescent="0.2">
      <c r="A8" t="s">
        <v>53</v>
      </c>
      <c r="B8" s="8" t="s">
        <v>36</v>
      </c>
      <c r="C8" s="8" t="s">
        <v>36</v>
      </c>
      <c r="D8" s="8" t="s">
        <v>54</v>
      </c>
      <c r="E8" s="8"/>
      <c r="F8" s="8" t="s">
        <v>36</v>
      </c>
      <c r="G8" s="8"/>
      <c r="H8" s="8" t="s">
        <v>55</v>
      </c>
      <c r="I8" s="8" t="s">
        <v>56</v>
      </c>
      <c r="J8" s="8" t="s">
        <v>57</v>
      </c>
      <c r="K8" s="8" t="s">
        <v>41</v>
      </c>
      <c r="L8" s="8" t="s">
        <v>58</v>
      </c>
      <c r="M8" s="8" t="s">
        <v>59</v>
      </c>
      <c r="N8" s="8"/>
      <c r="O8" s="8" t="s">
        <v>60</v>
      </c>
      <c r="P8" s="8" t="s">
        <v>61</v>
      </c>
      <c r="Q8" s="8" t="s">
        <v>62</v>
      </c>
      <c r="R8" s="8" t="s">
        <v>63</v>
      </c>
      <c r="S8" s="8" t="s">
        <v>64</v>
      </c>
      <c r="T8" s="8" t="s">
        <v>65</v>
      </c>
      <c r="U8" s="8" t="s">
        <v>66</v>
      </c>
      <c r="V8" s="8" t="s">
        <v>67</v>
      </c>
      <c r="W8" s="8" t="s">
        <v>68</v>
      </c>
      <c r="X8" s="8"/>
      <c r="Y8" s="8"/>
      <c r="Z8" s="8" t="s">
        <v>69</v>
      </c>
      <c r="AA8" s="8"/>
      <c r="AB8" s="8" t="s">
        <v>70</v>
      </c>
      <c r="AC8" s="8" t="s">
        <v>71</v>
      </c>
      <c r="AD8" s="32" t="s">
        <v>110</v>
      </c>
      <c r="AE8" s="8" t="s">
        <v>101</v>
      </c>
      <c r="AF8" s="8" t="s">
        <v>95</v>
      </c>
      <c r="AG8" s="8"/>
      <c r="AH8" s="10" t="s">
        <v>72</v>
      </c>
      <c r="AI8" s="10"/>
      <c r="AJ8" s="15" t="s">
        <v>73</v>
      </c>
      <c r="AK8" s="15" t="s">
        <v>74</v>
      </c>
      <c r="AL8" s="15" t="s">
        <v>75</v>
      </c>
    </row>
    <row r="9" spans="1:40" ht="32" x14ac:dyDescent="0.2">
      <c r="A9" t="s">
        <v>76</v>
      </c>
      <c r="B9" s="8"/>
      <c r="C9" s="8"/>
      <c r="D9" s="8"/>
      <c r="E9" s="8"/>
      <c r="F9" s="8"/>
      <c r="G9" s="8"/>
      <c r="H9" s="8"/>
      <c r="I9" s="8"/>
      <c r="J9" s="8"/>
      <c r="K9" s="8"/>
      <c r="L9" s="8" t="s">
        <v>77</v>
      </c>
      <c r="M9" s="8"/>
      <c r="N9" s="8"/>
      <c r="O9" s="8"/>
      <c r="P9" s="8"/>
      <c r="Q9" s="8"/>
      <c r="R9" s="50" t="s">
        <v>78</v>
      </c>
      <c r="S9" s="50"/>
      <c r="T9" s="51" t="s">
        <v>79</v>
      </c>
      <c r="U9" s="52"/>
      <c r="V9" s="51" t="s">
        <v>116</v>
      </c>
      <c r="W9" s="52"/>
      <c r="X9" s="30"/>
      <c r="Y9" s="30"/>
      <c r="Z9" s="8"/>
      <c r="AA9" s="8"/>
      <c r="AB9" s="25" t="s">
        <v>99</v>
      </c>
      <c r="AC9" s="8"/>
      <c r="AD9" s="8" t="s">
        <v>135</v>
      </c>
      <c r="AE9" s="8"/>
      <c r="AF9" s="8"/>
      <c r="AG9" s="8" t="s">
        <v>81</v>
      </c>
      <c r="AH9" s="10" t="s">
        <v>61</v>
      </c>
      <c r="AI9" s="10"/>
      <c r="AJ9" s="8"/>
      <c r="AK9" s="8"/>
      <c r="AL9" s="8" t="s">
        <v>81</v>
      </c>
    </row>
    <row r="10" spans="1:40" s="26" customFormat="1" x14ac:dyDescent="0.2">
      <c r="A10" t="s">
        <v>128</v>
      </c>
      <c r="B10" t="s">
        <v>83</v>
      </c>
      <c r="C10" t="s">
        <v>84</v>
      </c>
      <c r="D10" t="s">
        <v>85</v>
      </c>
      <c r="E10" t="s">
        <v>129</v>
      </c>
      <c r="F10" t="s">
        <v>84</v>
      </c>
      <c r="G10" t="s">
        <v>100</v>
      </c>
      <c r="H10" t="s">
        <v>130</v>
      </c>
      <c r="I10" t="s">
        <v>131</v>
      </c>
      <c r="J10" t="s">
        <v>89</v>
      </c>
      <c r="K10" s="27">
        <v>2018</v>
      </c>
      <c r="L10">
        <v>2018</v>
      </c>
      <c r="M10">
        <v>25</v>
      </c>
      <c r="N10"/>
      <c r="O10">
        <v>0</v>
      </c>
      <c r="P10" t="s">
        <v>61</v>
      </c>
      <c r="Q10" t="s">
        <v>90</v>
      </c>
      <c r="R10">
        <v>295.318706611724</v>
      </c>
      <c r="S10" t="s">
        <v>61</v>
      </c>
      <c r="T10">
        <v>8.3156995953521204E-2</v>
      </c>
      <c r="U10" t="s">
        <v>132</v>
      </c>
      <c r="V10">
        <v>0</v>
      </c>
      <c r="W10" t="s">
        <v>93</v>
      </c>
      <c r="X10"/>
      <c r="Y10"/>
      <c r="Z10" t="s">
        <v>133</v>
      </c>
      <c r="AA10">
        <v>1</v>
      </c>
      <c r="AB10">
        <v>1</v>
      </c>
      <c r="AC10" t="s">
        <v>134</v>
      </c>
      <c r="AD10">
        <v>191.64876037205599</v>
      </c>
      <c r="AE10" t="s">
        <v>109</v>
      </c>
      <c r="AF10">
        <v>1</v>
      </c>
      <c r="AG10" t="s">
        <v>109</v>
      </c>
      <c r="AH10">
        <v>0.68993553733940205</v>
      </c>
      <c r="AI10" t="s">
        <v>98</v>
      </c>
      <c r="AJ10"/>
      <c r="AK10"/>
      <c r="AL10"/>
      <c r="AM10"/>
      <c r="AN10"/>
    </row>
    <row r="11" spans="1:40" s="26" customFormat="1" x14ac:dyDescent="0.2">
      <c r="A11" t="s">
        <v>128</v>
      </c>
      <c r="B11" t="s">
        <v>83</v>
      </c>
      <c r="C11" t="s">
        <v>84</v>
      </c>
      <c r="D11" t="s">
        <v>85</v>
      </c>
      <c r="E11" t="s">
        <v>129</v>
      </c>
      <c r="F11" t="s">
        <v>84</v>
      </c>
      <c r="G11" t="s">
        <v>100</v>
      </c>
      <c r="H11" t="s">
        <v>130</v>
      </c>
      <c r="I11" t="s">
        <v>131</v>
      </c>
      <c r="J11" t="s">
        <v>89</v>
      </c>
      <c r="K11" s="27">
        <v>2030</v>
      </c>
      <c r="L11">
        <v>2018</v>
      </c>
      <c r="M11">
        <v>25</v>
      </c>
      <c r="N11"/>
      <c r="O11">
        <v>0</v>
      </c>
      <c r="P11" t="s">
        <v>61</v>
      </c>
      <c r="Q11" t="s">
        <v>90</v>
      </c>
      <c r="R11">
        <v>236.25496528937899</v>
      </c>
      <c r="S11" t="s">
        <v>61</v>
      </c>
      <c r="T11">
        <v>6.6525596762816996E-2</v>
      </c>
      <c r="U11" t="s">
        <v>132</v>
      </c>
      <c r="V11">
        <v>0</v>
      </c>
      <c r="W11"/>
      <c r="X11"/>
      <c r="Y11"/>
      <c r="Z11" t="s">
        <v>133</v>
      </c>
      <c r="AA11">
        <v>1</v>
      </c>
      <c r="AB11"/>
      <c r="AC11" t="s">
        <v>134</v>
      </c>
      <c r="AD11">
        <v>191.64876037205599</v>
      </c>
      <c r="AE11" t="s">
        <v>109</v>
      </c>
      <c r="AF11">
        <v>1</v>
      </c>
      <c r="AG11" t="s">
        <v>109</v>
      </c>
      <c r="AH11">
        <v>0.68993553733940205</v>
      </c>
      <c r="AI11" t="s">
        <v>98</v>
      </c>
      <c r="AJ11"/>
      <c r="AK11"/>
      <c r="AL11"/>
      <c r="AM11"/>
      <c r="AN11"/>
    </row>
    <row r="12" spans="1:40" s="26" customFormat="1" x14ac:dyDescent="0.2">
      <c r="A12" t="s">
        <v>128</v>
      </c>
      <c r="B12" t="s">
        <v>83</v>
      </c>
      <c r="C12" t="s">
        <v>84</v>
      </c>
      <c r="D12" t="s">
        <v>85</v>
      </c>
      <c r="E12" t="s">
        <v>129</v>
      </c>
      <c r="F12" t="s">
        <v>84</v>
      </c>
      <c r="G12" t="s">
        <v>100</v>
      </c>
      <c r="H12" t="s">
        <v>130</v>
      </c>
      <c r="I12" t="s">
        <v>131</v>
      </c>
      <c r="J12" t="s">
        <v>89</v>
      </c>
      <c r="K12" s="27">
        <v>2040</v>
      </c>
      <c r="L12">
        <v>2018</v>
      </c>
      <c r="M12">
        <v>25</v>
      </c>
      <c r="N12"/>
      <c r="O12">
        <v>0</v>
      </c>
      <c r="P12" t="s">
        <v>61</v>
      </c>
      <c r="Q12" t="s">
        <v>90</v>
      </c>
      <c r="R12">
        <v>189.00397223150301</v>
      </c>
      <c r="S12" t="s">
        <v>61</v>
      </c>
      <c r="T12">
        <v>5.3220477410253562E-2</v>
      </c>
      <c r="U12" t="s">
        <v>132</v>
      </c>
      <c r="V12">
        <v>0</v>
      </c>
      <c r="W12"/>
      <c r="X12"/>
      <c r="Y12"/>
      <c r="Z12" t="s">
        <v>133</v>
      </c>
      <c r="AA12">
        <v>1</v>
      </c>
      <c r="AB12"/>
      <c r="AC12" t="s">
        <v>134</v>
      </c>
      <c r="AD12">
        <v>191.64876037205599</v>
      </c>
      <c r="AE12" t="s">
        <v>109</v>
      </c>
      <c r="AF12">
        <v>1</v>
      </c>
      <c r="AG12" t="s">
        <v>109</v>
      </c>
      <c r="AH12">
        <v>0.68993553733940205</v>
      </c>
      <c r="AI12" t="s">
        <v>98</v>
      </c>
      <c r="AJ12"/>
      <c r="AK12"/>
      <c r="AL12"/>
      <c r="AM12"/>
      <c r="AN12"/>
    </row>
    <row r="13" spans="1:40" s="26" customFormat="1" x14ac:dyDescent="0.2">
      <c r="A13" t="s">
        <v>128</v>
      </c>
      <c r="B13" t="s">
        <v>83</v>
      </c>
      <c r="C13" t="s">
        <v>84</v>
      </c>
      <c r="D13" t="s">
        <v>85</v>
      </c>
      <c r="E13" t="s">
        <v>129</v>
      </c>
      <c r="F13" t="s">
        <v>84</v>
      </c>
      <c r="G13" t="s">
        <v>100</v>
      </c>
      <c r="H13" t="s">
        <v>130</v>
      </c>
      <c r="I13" t="s">
        <v>131</v>
      </c>
      <c r="J13" t="s">
        <v>89</v>
      </c>
      <c r="K13" s="27">
        <v>2050</v>
      </c>
      <c r="L13">
        <v>2018</v>
      </c>
      <c r="M13">
        <v>25</v>
      </c>
      <c r="N13"/>
      <c r="O13">
        <v>0</v>
      </c>
      <c r="P13" t="s">
        <v>61</v>
      </c>
      <c r="Q13" t="s">
        <v>90</v>
      </c>
      <c r="R13">
        <v>147.659353305862</v>
      </c>
      <c r="S13" t="s">
        <v>61</v>
      </c>
      <c r="T13">
        <v>4.1578497976760588E-2</v>
      </c>
      <c r="U13" t="s">
        <v>132</v>
      </c>
      <c r="V13">
        <v>0</v>
      </c>
      <c r="W13"/>
      <c r="X13"/>
      <c r="Y13"/>
      <c r="Z13" t="s">
        <v>133</v>
      </c>
      <c r="AA13">
        <v>1</v>
      </c>
      <c r="AB13"/>
      <c r="AC13" t="s">
        <v>134</v>
      </c>
      <c r="AD13">
        <v>191.64876037205599</v>
      </c>
      <c r="AE13" t="s">
        <v>109</v>
      </c>
      <c r="AF13">
        <v>1</v>
      </c>
      <c r="AG13" t="s">
        <v>109</v>
      </c>
      <c r="AH13">
        <v>0.68993553733940205</v>
      </c>
      <c r="AI13" t="s">
        <v>98</v>
      </c>
      <c r="AJ13"/>
      <c r="AK13"/>
      <c r="AL13"/>
      <c r="AM13"/>
      <c r="AN13"/>
    </row>
    <row r="14" spans="1:40" s="26" customFormat="1" x14ac:dyDescent="0.2">
      <c r="A14"/>
      <c r="B14"/>
      <c r="C14"/>
      <c r="D14"/>
      <c r="E14"/>
      <c r="F14"/>
      <c r="G14"/>
      <c r="H14"/>
      <c r="I14"/>
      <c r="J14"/>
      <c r="K14" s="27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</row>
    <row r="15" spans="1:40" s="26" customFormat="1" x14ac:dyDescent="0.2">
      <c r="A15"/>
      <c r="B15"/>
      <c r="C15"/>
      <c r="D15"/>
      <c r="E15"/>
      <c r="F15"/>
      <c r="G15"/>
      <c r="H15"/>
      <c r="I15"/>
      <c r="J15"/>
      <c r="K15" s="27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</row>
    <row r="16" spans="1:40" s="26" customFormat="1" x14ac:dyDescent="0.2">
      <c r="A16"/>
      <c r="B16"/>
      <c r="C16"/>
      <c r="D16"/>
      <c r="E16"/>
      <c r="F16"/>
      <c r="G16"/>
      <c r="H16"/>
      <c r="I16"/>
      <c r="J16"/>
      <c r="K16" s="27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</row>
    <row r="17" spans="1:40" s="26" customFormat="1" x14ac:dyDescent="0.2">
      <c r="A17"/>
      <c r="B17"/>
      <c r="C17"/>
      <c r="D17"/>
      <c r="E17"/>
      <c r="F17"/>
      <c r="G17"/>
      <c r="H17"/>
      <c r="I17"/>
      <c r="J17"/>
      <c r="K17" s="2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</row>
    <row r="18" spans="1:40" s="26" customFormat="1" x14ac:dyDescent="0.2">
      <c r="A18"/>
      <c r="B18"/>
      <c r="C18"/>
      <c r="D18"/>
      <c r="E18"/>
      <c r="F18"/>
      <c r="G18"/>
      <c r="H18"/>
      <c r="I18"/>
      <c r="J18"/>
      <c r="K18" s="27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</row>
    <row r="19" spans="1:40" s="26" customFormat="1" x14ac:dyDescent="0.2">
      <c r="A19"/>
      <c r="B19"/>
      <c r="C19"/>
      <c r="D19"/>
      <c r="E19"/>
      <c r="F19"/>
      <c r="G19"/>
      <c r="H19"/>
      <c r="I19"/>
      <c r="J19"/>
      <c r="K19" s="27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</row>
    <row r="20" spans="1:40" s="26" customFormat="1" x14ac:dyDescent="0.2">
      <c r="A20"/>
      <c r="B20"/>
      <c r="C20"/>
      <c r="D20"/>
      <c r="E20"/>
      <c r="F20"/>
      <c r="G20"/>
      <c r="H20"/>
      <c r="I20"/>
      <c r="J20"/>
      <c r="K20" s="27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</row>
    <row r="21" spans="1:40" s="26" customFormat="1" x14ac:dyDescent="0.2">
      <c r="A21"/>
      <c r="B21"/>
      <c r="C21"/>
      <c r="D21"/>
      <c r="E21"/>
      <c r="F21"/>
      <c r="G21"/>
      <c r="H21"/>
      <c r="I21"/>
      <c r="J21"/>
      <c r="K21" s="27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</row>
    <row r="22" spans="1:40" x14ac:dyDescent="0.2">
      <c r="K22" s="27"/>
    </row>
    <row r="23" spans="1:40" x14ac:dyDescent="0.2">
      <c r="K23" s="27"/>
    </row>
    <row r="24" spans="1:40" x14ac:dyDescent="0.2">
      <c r="K24" s="27"/>
    </row>
    <row r="25" spans="1:40" x14ac:dyDescent="0.2">
      <c r="K25" s="27"/>
    </row>
    <row r="26" spans="1:40" x14ac:dyDescent="0.2">
      <c r="K26" s="27"/>
    </row>
    <row r="27" spans="1:40" x14ac:dyDescent="0.2">
      <c r="K27" s="27"/>
    </row>
    <row r="28" spans="1:40" x14ac:dyDescent="0.2">
      <c r="K28" s="27"/>
    </row>
    <row r="29" spans="1:40" x14ac:dyDescent="0.2">
      <c r="K29" s="27"/>
    </row>
    <row r="30" spans="1:40" x14ac:dyDescent="0.2">
      <c r="K30" s="27"/>
    </row>
    <row r="31" spans="1:40" x14ac:dyDescent="0.2">
      <c r="K31" s="27"/>
    </row>
    <row r="32" spans="1:40" x14ac:dyDescent="0.2">
      <c r="K32" s="27"/>
    </row>
    <row r="33" spans="11:11" x14ac:dyDescent="0.2">
      <c r="K33" s="27"/>
    </row>
    <row r="34" spans="11:11" x14ac:dyDescent="0.2">
      <c r="K34" s="27"/>
    </row>
    <row r="35" spans="11:11" x14ac:dyDescent="0.2">
      <c r="K35" s="27"/>
    </row>
    <row r="36" spans="11:11" x14ac:dyDescent="0.2">
      <c r="K36" s="27"/>
    </row>
  </sheetData>
  <mergeCells count="14">
    <mergeCell ref="Z1:AG1"/>
    <mergeCell ref="AH1:AI1"/>
    <mergeCell ref="AJ1:AL2"/>
    <mergeCell ref="R9:S9"/>
    <mergeCell ref="T9:U9"/>
    <mergeCell ref="V9:W9"/>
    <mergeCell ref="Z4:AG4"/>
    <mergeCell ref="AH4:AI4"/>
    <mergeCell ref="B1:F1"/>
    <mergeCell ref="H1:M1"/>
    <mergeCell ref="O1:W1"/>
    <mergeCell ref="O4:P4"/>
    <mergeCell ref="R4:U4"/>
    <mergeCell ref="V4:W4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9ED1F-E88A-45BA-9475-7221B3A0482A}">
  <dimension ref="A1:AN36"/>
  <sheetViews>
    <sheetView topLeftCell="C1" zoomScale="80" zoomScaleNormal="80" workbookViewId="0">
      <selection activeCell="N2" sqref="N2"/>
    </sheetView>
  </sheetViews>
  <sheetFormatPr baseColWidth="10" defaultColWidth="8.83203125" defaultRowHeight="15" x14ac:dyDescent="0.2"/>
  <cols>
    <col min="2" max="2" width="11" customWidth="1"/>
    <col min="3" max="3" width="11.5" customWidth="1"/>
    <col min="4" max="4" width="16.33203125" customWidth="1"/>
    <col min="5" max="5" width="31.33203125" customWidth="1"/>
    <col min="6" max="6" width="12.5" customWidth="1"/>
    <col min="7" max="7" width="17.83203125" customWidth="1"/>
    <col min="8" max="8" width="20" customWidth="1"/>
    <col min="9" max="9" width="44.33203125" customWidth="1"/>
    <col min="10" max="10" width="6.6640625" customWidth="1"/>
    <col min="11" max="11" width="10.83203125" customWidth="1"/>
    <col min="12" max="12" width="15.33203125" customWidth="1"/>
    <col min="13" max="14" width="12.33203125" customWidth="1"/>
    <col min="15" max="15" width="18.5" bestFit="1" customWidth="1"/>
    <col min="17" max="17" width="21.5" bestFit="1" customWidth="1"/>
    <col min="18" max="18" width="29.83203125" bestFit="1" customWidth="1"/>
    <col min="19" max="19" width="22.83203125" bestFit="1" customWidth="1"/>
    <col min="20" max="20" width="22.5" bestFit="1" customWidth="1"/>
    <col min="21" max="21" width="17" customWidth="1"/>
    <col min="22" max="22" width="16.33203125" customWidth="1"/>
    <col min="23" max="23" width="25.33203125" bestFit="1" customWidth="1"/>
    <col min="24" max="25" width="25.33203125" customWidth="1"/>
    <col min="26" max="27" width="12.33203125" customWidth="1"/>
    <col min="28" max="28" width="15.6640625" bestFit="1" customWidth="1"/>
    <col min="29" max="29" width="27.1640625" bestFit="1" customWidth="1"/>
    <col min="30" max="30" width="18.1640625" customWidth="1"/>
    <col min="31" max="31" width="27.1640625" customWidth="1"/>
    <col min="32" max="32" width="21.5" bestFit="1" customWidth="1"/>
    <col min="33" max="33" width="8.1640625" bestFit="1" customWidth="1"/>
    <col min="34" max="34" width="11.5" bestFit="1" customWidth="1"/>
    <col min="35" max="35" width="16.1640625" customWidth="1"/>
    <col min="36" max="36" width="18.5" customWidth="1"/>
    <col min="37" max="37" width="18.1640625" customWidth="1"/>
    <col min="38" max="38" width="20.83203125" bestFit="1" customWidth="1"/>
    <col min="39" max="39" width="33.5" bestFit="1" customWidth="1"/>
  </cols>
  <sheetData>
    <row r="1" spans="1:40" x14ac:dyDescent="0.2">
      <c r="B1" s="35" t="s">
        <v>0</v>
      </c>
      <c r="C1" s="35"/>
      <c r="D1" s="35"/>
      <c r="E1" s="35"/>
      <c r="F1" s="35"/>
      <c r="G1" s="2"/>
      <c r="H1" s="36" t="s">
        <v>1</v>
      </c>
      <c r="I1" s="36"/>
      <c r="J1" s="36"/>
      <c r="K1" s="36"/>
      <c r="L1" s="36"/>
      <c r="M1" s="36"/>
      <c r="N1" s="31"/>
      <c r="O1" s="38" t="s">
        <v>2</v>
      </c>
      <c r="P1" s="38"/>
      <c r="Q1" s="38"/>
      <c r="R1" s="38"/>
      <c r="S1" s="38"/>
      <c r="T1" s="38"/>
      <c r="U1" s="38"/>
      <c r="V1" s="38"/>
      <c r="W1" s="38"/>
      <c r="X1" s="29"/>
      <c r="Y1" s="29"/>
      <c r="Z1" s="36" t="s">
        <v>3</v>
      </c>
      <c r="AA1" s="36"/>
      <c r="AB1" s="36"/>
      <c r="AC1" s="36"/>
      <c r="AD1" s="36"/>
      <c r="AE1" s="36"/>
      <c r="AF1" s="36"/>
      <c r="AG1" s="37"/>
      <c r="AH1" s="42" t="s">
        <v>4</v>
      </c>
      <c r="AI1" s="43"/>
      <c r="AJ1" s="46" t="s">
        <v>5</v>
      </c>
      <c r="AK1" s="47"/>
      <c r="AL1" s="47"/>
      <c r="AM1" s="9"/>
    </row>
    <row r="2" spans="1:40" ht="32" x14ac:dyDescent="0.2">
      <c r="A2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4" t="s">
        <v>13</v>
      </c>
      <c r="I2" s="4" t="s">
        <v>14</v>
      </c>
      <c r="J2" s="4" t="s">
        <v>15</v>
      </c>
      <c r="K2" s="4" t="s">
        <v>16</v>
      </c>
      <c r="L2" s="4" t="s">
        <v>17</v>
      </c>
      <c r="M2" s="4" t="s">
        <v>18</v>
      </c>
      <c r="N2" s="34" t="s">
        <v>151</v>
      </c>
      <c r="O2" s="5" t="s">
        <v>19</v>
      </c>
      <c r="P2" s="5" t="s">
        <v>20</v>
      </c>
      <c r="Q2" s="5" t="s">
        <v>21</v>
      </c>
      <c r="R2" s="5" t="s">
        <v>22</v>
      </c>
      <c r="S2" s="5" t="s">
        <v>23</v>
      </c>
      <c r="T2" s="5" t="s">
        <v>24</v>
      </c>
      <c r="U2" s="5" t="s">
        <v>25</v>
      </c>
      <c r="V2" s="5" t="s">
        <v>26</v>
      </c>
      <c r="W2" s="5" t="s">
        <v>27</v>
      </c>
      <c r="X2" s="34" t="s">
        <v>125</v>
      </c>
      <c r="Y2" s="34" t="s">
        <v>126</v>
      </c>
      <c r="Z2" s="4" t="s">
        <v>28</v>
      </c>
      <c r="AA2" s="33" t="s">
        <v>124</v>
      </c>
      <c r="AB2" s="4" t="s">
        <v>29</v>
      </c>
      <c r="AC2" s="13" t="s">
        <v>30</v>
      </c>
      <c r="AD2" s="13"/>
      <c r="AE2" s="13"/>
      <c r="AF2" s="4" t="s">
        <v>96</v>
      </c>
      <c r="AG2" s="16" t="s">
        <v>31</v>
      </c>
      <c r="AH2" s="14" t="s">
        <v>32</v>
      </c>
      <c r="AI2" s="12" t="s">
        <v>33</v>
      </c>
      <c r="AJ2" s="48"/>
      <c r="AK2" s="49"/>
      <c r="AL2" s="49"/>
    </row>
    <row r="3" spans="1:40" x14ac:dyDescent="0.2">
      <c r="A3" t="s">
        <v>34</v>
      </c>
      <c r="B3" s="3"/>
      <c r="C3" s="3"/>
      <c r="D3" s="3"/>
      <c r="E3" s="3"/>
      <c r="F3" s="3"/>
      <c r="G3" s="3"/>
      <c r="H3" s="4"/>
      <c r="I3" s="4"/>
      <c r="J3" s="4"/>
      <c r="K3" s="4"/>
      <c r="L3" s="4"/>
      <c r="M3" s="4"/>
      <c r="N3" s="4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4"/>
      <c r="AA3" s="4"/>
      <c r="AB3" s="4"/>
      <c r="AC3" s="13"/>
      <c r="AD3" s="13"/>
      <c r="AE3" s="13"/>
      <c r="AF3" s="4"/>
      <c r="AG3" s="23"/>
      <c r="AH3" s="14"/>
      <c r="AI3" s="24" t="s">
        <v>102</v>
      </c>
      <c r="AJ3" s="17"/>
      <c r="AK3" s="20"/>
      <c r="AL3" s="20"/>
    </row>
    <row r="4" spans="1:40" hidden="1" x14ac:dyDescent="0.2">
      <c r="A4" t="s">
        <v>35</v>
      </c>
      <c r="B4" s="3" t="s">
        <v>36</v>
      </c>
      <c r="C4" s="3" t="s">
        <v>36</v>
      </c>
      <c r="D4" s="3" t="s">
        <v>37</v>
      </c>
      <c r="E4" s="3" t="s">
        <v>36</v>
      </c>
      <c r="F4" s="3" t="s">
        <v>36</v>
      </c>
      <c r="G4" s="3"/>
      <c r="H4" s="4" t="s">
        <v>38</v>
      </c>
      <c r="I4" s="4" t="s">
        <v>39</v>
      </c>
      <c r="J4" s="4" t="s">
        <v>40</v>
      </c>
      <c r="K4" s="4" t="s">
        <v>41</v>
      </c>
      <c r="L4" s="4" t="s">
        <v>17</v>
      </c>
      <c r="M4" s="4" t="s">
        <v>42</v>
      </c>
      <c r="N4" s="4"/>
      <c r="O4" s="39" t="s">
        <v>43</v>
      </c>
      <c r="P4" s="39"/>
      <c r="Q4" s="6"/>
      <c r="R4" s="39" t="s">
        <v>44</v>
      </c>
      <c r="S4" s="39"/>
      <c r="T4" s="39"/>
      <c r="U4" s="39"/>
      <c r="V4" s="39" t="s">
        <v>45</v>
      </c>
      <c r="W4" s="39"/>
      <c r="X4" s="6"/>
      <c r="Y4" s="6"/>
      <c r="Z4" s="40" t="s">
        <v>46</v>
      </c>
      <c r="AA4" s="40"/>
      <c r="AB4" s="40"/>
      <c r="AC4" s="40"/>
      <c r="AD4" s="40"/>
      <c r="AE4" s="40"/>
      <c r="AF4" s="40"/>
      <c r="AG4" s="41"/>
      <c r="AH4" s="44" t="s">
        <v>47</v>
      </c>
      <c r="AI4" s="45"/>
      <c r="AJ4" s="18" t="s">
        <v>48</v>
      </c>
      <c r="AK4" s="19" t="s">
        <v>49</v>
      </c>
      <c r="AL4" s="19" t="s">
        <v>32</v>
      </c>
    </row>
    <row r="5" spans="1:40" hidden="1" x14ac:dyDescent="0.2">
      <c r="A5" t="s">
        <v>50</v>
      </c>
      <c r="B5" s="3"/>
      <c r="C5" s="3"/>
      <c r="D5" s="3"/>
      <c r="E5" s="3"/>
      <c r="F5" s="3"/>
      <c r="G5" s="3"/>
      <c r="H5" s="4"/>
      <c r="I5" s="4"/>
      <c r="J5" s="4"/>
      <c r="K5" s="4"/>
      <c r="L5" s="4"/>
      <c r="M5" s="4"/>
      <c r="N5" s="4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7"/>
      <c r="AA5" s="7"/>
      <c r="AB5" s="7"/>
      <c r="AC5" s="7"/>
      <c r="AD5" s="7"/>
      <c r="AE5" s="7"/>
      <c r="AF5" s="7"/>
      <c r="AG5" s="11"/>
      <c r="AH5" s="21"/>
      <c r="AI5" s="22"/>
      <c r="AJ5" s="18"/>
      <c r="AK5" s="19"/>
      <c r="AL5" s="19"/>
    </row>
    <row r="6" spans="1:40" hidden="1" x14ac:dyDescent="0.2">
      <c r="A6" t="s">
        <v>51</v>
      </c>
      <c r="B6" s="3"/>
      <c r="C6" s="3"/>
      <c r="D6" s="3"/>
      <c r="E6" s="3"/>
      <c r="F6" s="3"/>
      <c r="G6" s="3"/>
      <c r="H6" s="4"/>
      <c r="I6" s="4"/>
      <c r="J6" s="4"/>
      <c r="K6" s="4"/>
      <c r="L6" s="4"/>
      <c r="M6" s="4"/>
      <c r="N6" s="4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7"/>
      <c r="AA6" s="7"/>
      <c r="AB6" s="7"/>
      <c r="AC6" s="7"/>
      <c r="AD6" s="7"/>
      <c r="AE6" s="7"/>
      <c r="AF6" s="7"/>
      <c r="AG6" s="11"/>
      <c r="AH6" s="21"/>
      <c r="AI6" s="22"/>
      <c r="AJ6" s="18"/>
      <c r="AK6" s="19"/>
      <c r="AL6" s="19"/>
    </row>
    <row r="7" spans="1:40" hidden="1" x14ac:dyDescent="0.2">
      <c r="A7" t="s">
        <v>52</v>
      </c>
      <c r="B7" s="3"/>
      <c r="C7" s="3"/>
      <c r="D7" s="3"/>
      <c r="E7" s="3"/>
      <c r="F7" s="3"/>
      <c r="G7" s="3"/>
      <c r="H7" s="4"/>
      <c r="I7" s="4"/>
      <c r="J7" s="4"/>
      <c r="K7" s="4"/>
      <c r="L7" s="4"/>
      <c r="M7" s="4"/>
      <c r="N7" s="4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7"/>
      <c r="AA7" s="7"/>
      <c r="AB7" s="7"/>
      <c r="AC7" s="7"/>
      <c r="AD7" s="7"/>
      <c r="AE7" s="7"/>
      <c r="AF7" s="7"/>
      <c r="AG7" s="11"/>
      <c r="AH7" s="21"/>
      <c r="AI7" s="22"/>
      <c r="AJ7" s="18"/>
      <c r="AK7" s="19"/>
      <c r="AL7" s="19"/>
    </row>
    <row r="8" spans="1:40" ht="96" x14ac:dyDescent="0.2">
      <c r="A8" t="s">
        <v>53</v>
      </c>
      <c r="B8" s="8" t="s">
        <v>36</v>
      </c>
      <c r="C8" s="8" t="s">
        <v>36</v>
      </c>
      <c r="D8" s="8" t="s">
        <v>54</v>
      </c>
      <c r="E8" s="8"/>
      <c r="F8" s="8" t="s">
        <v>36</v>
      </c>
      <c r="G8" s="8"/>
      <c r="H8" s="8" t="s">
        <v>55</v>
      </c>
      <c r="I8" s="8" t="s">
        <v>56</v>
      </c>
      <c r="J8" s="8" t="s">
        <v>57</v>
      </c>
      <c r="K8" s="8" t="s">
        <v>41</v>
      </c>
      <c r="L8" s="8" t="s">
        <v>58</v>
      </c>
      <c r="M8" s="8" t="s">
        <v>59</v>
      </c>
      <c r="N8" s="8"/>
      <c r="O8" s="8" t="s">
        <v>60</v>
      </c>
      <c r="P8" s="8" t="s">
        <v>61</v>
      </c>
      <c r="Q8" s="8" t="s">
        <v>62</v>
      </c>
      <c r="R8" s="8" t="s">
        <v>63</v>
      </c>
      <c r="S8" s="8" t="s">
        <v>64</v>
      </c>
      <c r="T8" s="8" t="s">
        <v>65</v>
      </c>
      <c r="U8" s="8" t="s">
        <v>66</v>
      </c>
      <c r="V8" s="8" t="s">
        <v>67</v>
      </c>
      <c r="W8" s="8" t="s">
        <v>68</v>
      </c>
      <c r="X8" s="8"/>
      <c r="Y8" s="8"/>
      <c r="Z8" s="8" t="s">
        <v>69</v>
      </c>
      <c r="AA8" s="8"/>
      <c r="AB8" s="8" t="s">
        <v>70</v>
      </c>
      <c r="AC8" s="8" t="s">
        <v>71</v>
      </c>
      <c r="AD8" s="32" t="s">
        <v>110</v>
      </c>
      <c r="AE8" s="8" t="s">
        <v>101</v>
      </c>
      <c r="AF8" s="8" t="s">
        <v>95</v>
      </c>
      <c r="AG8" s="8"/>
      <c r="AH8" s="10" t="s">
        <v>72</v>
      </c>
      <c r="AI8" s="10"/>
      <c r="AJ8" s="15" t="s">
        <v>73</v>
      </c>
      <c r="AK8" s="15" t="s">
        <v>74</v>
      </c>
      <c r="AL8" s="15" t="s">
        <v>75</v>
      </c>
    </row>
    <row r="9" spans="1:40" ht="32" x14ac:dyDescent="0.2">
      <c r="A9" t="s">
        <v>76</v>
      </c>
      <c r="B9" s="8"/>
      <c r="C9" s="8"/>
      <c r="D9" s="8"/>
      <c r="E9" s="8"/>
      <c r="F9" s="8"/>
      <c r="G9" s="8"/>
      <c r="H9" s="8"/>
      <c r="I9" s="8"/>
      <c r="J9" s="8"/>
      <c r="K9" s="8"/>
      <c r="L9" s="8" t="s">
        <v>77</v>
      </c>
      <c r="M9" s="8"/>
      <c r="N9" s="8"/>
      <c r="O9" s="8"/>
      <c r="P9" s="8"/>
      <c r="Q9" s="8"/>
      <c r="R9" s="50" t="s">
        <v>78</v>
      </c>
      <c r="S9" s="50"/>
      <c r="T9" s="51" t="s">
        <v>79</v>
      </c>
      <c r="U9" s="52"/>
      <c r="V9" s="51" t="s">
        <v>116</v>
      </c>
      <c r="W9" s="52"/>
      <c r="X9" s="30"/>
      <c r="Y9" s="30"/>
      <c r="Z9" s="8"/>
      <c r="AA9" s="8"/>
      <c r="AB9" s="25" t="s">
        <v>99</v>
      </c>
      <c r="AC9" s="8"/>
      <c r="AD9" s="8" t="s">
        <v>135</v>
      </c>
      <c r="AE9" s="8"/>
      <c r="AF9" s="8"/>
      <c r="AG9" s="8" t="s">
        <v>81</v>
      </c>
      <c r="AH9" s="10" t="s">
        <v>61</v>
      </c>
      <c r="AI9" s="10"/>
      <c r="AJ9" s="8"/>
      <c r="AK9" s="8"/>
      <c r="AL9" s="8" t="s">
        <v>81</v>
      </c>
    </row>
    <row r="10" spans="1:40" s="26" customFormat="1" x14ac:dyDescent="0.2">
      <c r="A10" t="s">
        <v>136</v>
      </c>
      <c r="B10" t="s">
        <v>83</v>
      </c>
      <c r="C10" t="s">
        <v>84</v>
      </c>
      <c r="D10" t="s">
        <v>85</v>
      </c>
      <c r="E10" t="s">
        <v>138</v>
      </c>
      <c r="F10" t="s">
        <v>84</v>
      </c>
      <c r="G10" t="s">
        <v>100</v>
      </c>
      <c r="H10" t="s">
        <v>137</v>
      </c>
      <c r="I10" t="s">
        <v>139</v>
      </c>
      <c r="J10" t="s">
        <v>89</v>
      </c>
      <c r="K10" s="27">
        <v>2018</v>
      </c>
      <c r="L10">
        <v>2018</v>
      </c>
      <c r="M10">
        <v>10</v>
      </c>
      <c r="N10"/>
      <c r="O10">
        <v>0</v>
      </c>
      <c r="P10" t="s">
        <v>61</v>
      </c>
      <c r="Q10" t="s">
        <v>90</v>
      </c>
      <c r="R10">
        <v>1555.55555555556</v>
      </c>
      <c r="S10" t="s">
        <v>61</v>
      </c>
      <c r="T10">
        <v>31.1111111111111</v>
      </c>
      <c r="U10" t="s">
        <v>132</v>
      </c>
      <c r="V10">
        <v>0</v>
      </c>
      <c r="W10" t="s">
        <v>93</v>
      </c>
      <c r="X10"/>
      <c r="Y10"/>
      <c r="Z10" t="s">
        <v>140</v>
      </c>
      <c r="AA10">
        <v>1</v>
      </c>
      <c r="AB10">
        <v>1</v>
      </c>
      <c r="AC10" t="s">
        <v>134</v>
      </c>
      <c r="AD10" s="27">
        <v>0.13588158889631199</v>
      </c>
      <c r="AE10" t="s">
        <v>109</v>
      </c>
      <c r="AF10">
        <v>1</v>
      </c>
      <c r="AG10" t="s">
        <v>109</v>
      </c>
      <c r="AH10">
        <v>0.13588158889631199</v>
      </c>
      <c r="AI10" t="s">
        <v>98</v>
      </c>
      <c r="AJ10"/>
      <c r="AK10"/>
      <c r="AL10"/>
      <c r="AM10"/>
      <c r="AN10"/>
    </row>
    <row r="11" spans="1:40" s="26" customFormat="1" x14ac:dyDescent="0.2">
      <c r="A11"/>
      <c r="B11"/>
      <c r="C11"/>
      <c r="D11"/>
      <c r="E11"/>
      <c r="F11"/>
      <c r="G11"/>
      <c r="H11"/>
      <c r="I11"/>
      <c r="J11"/>
      <c r="K11" s="27">
        <v>2020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 s="27">
        <v>8.6218565233100494E-2</v>
      </c>
      <c r="AE11"/>
      <c r="AF11"/>
      <c r="AG11"/>
      <c r="AH11"/>
      <c r="AI11"/>
      <c r="AJ11"/>
      <c r="AK11"/>
      <c r="AL11"/>
      <c r="AM11"/>
      <c r="AN11"/>
    </row>
    <row r="12" spans="1:40" s="26" customFormat="1" x14ac:dyDescent="0.2">
      <c r="A12"/>
      <c r="B12"/>
      <c r="C12"/>
      <c r="D12"/>
      <c r="E12"/>
      <c r="F12"/>
      <c r="G12"/>
      <c r="H12"/>
      <c r="I12"/>
      <c r="J12"/>
      <c r="K12" s="27">
        <v>2022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 s="27"/>
      <c r="AE12"/>
      <c r="AF12"/>
      <c r="AG12"/>
      <c r="AH12"/>
      <c r="AI12"/>
      <c r="AJ12"/>
      <c r="AK12"/>
      <c r="AL12"/>
      <c r="AM12"/>
      <c r="AN12"/>
    </row>
    <row r="13" spans="1:40" s="26" customFormat="1" x14ac:dyDescent="0.2">
      <c r="A13"/>
      <c r="B13"/>
      <c r="C13"/>
      <c r="D13"/>
      <c r="E13"/>
      <c r="F13"/>
      <c r="G13"/>
      <c r="H13"/>
      <c r="I13"/>
      <c r="J13"/>
      <c r="K13" s="27">
        <v>2024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 s="27"/>
      <c r="AE13"/>
      <c r="AF13"/>
      <c r="AG13"/>
      <c r="AH13"/>
      <c r="AI13"/>
      <c r="AJ13"/>
      <c r="AK13"/>
      <c r="AL13"/>
      <c r="AM13"/>
      <c r="AN13"/>
    </row>
    <row r="14" spans="1:40" s="26" customFormat="1" x14ac:dyDescent="0.2">
      <c r="A14"/>
      <c r="B14"/>
      <c r="C14"/>
      <c r="D14"/>
      <c r="E14"/>
      <c r="F14"/>
      <c r="G14"/>
      <c r="H14"/>
      <c r="I14"/>
      <c r="J14"/>
      <c r="K14" s="27">
        <v>2026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 s="27"/>
      <c r="AE14"/>
      <c r="AF14"/>
      <c r="AG14"/>
      <c r="AH14"/>
      <c r="AI14"/>
      <c r="AJ14"/>
      <c r="AK14"/>
      <c r="AL14"/>
      <c r="AM14"/>
      <c r="AN14"/>
    </row>
    <row r="15" spans="1:40" s="26" customFormat="1" x14ac:dyDescent="0.2">
      <c r="A15"/>
      <c r="B15"/>
      <c r="C15"/>
      <c r="D15"/>
      <c r="E15"/>
      <c r="F15"/>
      <c r="G15"/>
      <c r="H15"/>
      <c r="I15"/>
      <c r="J15"/>
      <c r="K15" s="27">
        <v>2028</v>
      </c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 s="27"/>
      <c r="AE15"/>
      <c r="AF15"/>
      <c r="AG15"/>
      <c r="AH15"/>
      <c r="AI15"/>
      <c r="AJ15"/>
      <c r="AK15"/>
      <c r="AL15"/>
      <c r="AM15"/>
      <c r="AN15"/>
    </row>
    <row r="16" spans="1:40" s="26" customFormat="1" x14ac:dyDescent="0.2">
      <c r="A16"/>
      <c r="B16"/>
      <c r="C16"/>
      <c r="D16"/>
      <c r="E16"/>
      <c r="F16"/>
      <c r="G16"/>
      <c r="H16"/>
      <c r="I16"/>
      <c r="J16"/>
      <c r="K16" s="27">
        <v>2030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 s="27"/>
      <c r="AE16"/>
      <c r="AF16"/>
      <c r="AG16"/>
      <c r="AH16"/>
      <c r="AI16"/>
      <c r="AJ16"/>
      <c r="AK16"/>
      <c r="AL16"/>
      <c r="AM16"/>
      <c r="AN16"/>
    </row>
    <row r="17" spans="1:40" s="26" customFormat="1" x14ac:dyDescent="0.2">
      <c r="A17"/>
      <c r="B17"/>
      <c r="C17"/>
      <c r="D17"/>
      <c r="E17"/>
      <c r="F17"/>
      <c r="G17"/>
      <c r="H17"/>
      <c r="I17"/>
      <c r="J17"/>
      <c r="K17" s="27">
        <v>2032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7"/>
      <c r="AE17"/>
      <c r="AF17"/>
      <c r="AG17"/>
      <c r="AH17"/>
      <c r="AI17"/>
      <c r="AJ17"/>
      <c r="AK17"/>
      <c r="AL17"/>
      <c r="AM17"/>
      <c r="AN17"/>
    </row>
    <row r="18" spans="1:40" s="26" customFormat="1" x14ac:dyDescent="0.2">
      <c r="A18"/>
      <c r="B18"/>
      <c r="C18"/>
      <c r="D18"/>
      <c r="E18"/>
      <c r="F18"/>
      <c r="G18"/>
      <c r="H18"/>
      <c r="I18"/>
      <c r="J18"/>
      <c r="K18" s="27">
        <v>2034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 s="27"/>
      <c r="AE18"/>
      <c r="AF18"/>
      <c r="AG18"/>
      <c r="AH18"/>
      <c r="AI18"/>
      <c r="AJ18"/>
      <c r="AK18"/>
      <c r="AL18"/>
      <c r="AM18"/>
      <c r="AN18"/>
    </row>
    <row r="19" spans="1:40" s="26" customFormat="1" x14ac:dyDescent="0.2">
      <c r="A19"/>
      <c r="B19"/>
      <c r="C19"/>
      <c r="D19"/>
      <c r="E19"/>
      <c r="F19"/>
      <c r="G19"/>
      <c r="H19"/>
      <c r="I19"/>
      <c r="J19"/>
      <c r="K19" s="27">
        <v>2036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 s="27"/>
      <c r="AE19"/>
      <c r="AF19"/>
      <c r="AG19"/>
      <c r="AH19"/>
      <c r="AI19"/>
      <c r="AJ19"/>
      <c r="AK19"/>
      <c r="AL19"/>
      <c r="AM19"/>
      <c r="AN19"/>
    </row>
    <row r="20" spans="1:40" s="26" customFormat="1" x14ac:dyDescent="0.2">
      <c r="A20"/>
      <c r="B20"/>
      <c r="C20"/>
      <c r="D20"/>
      <c r="E20"/>
      <c r="F20"/>
      <c r="G20"/>
      <c r="H20"/>
      <c r="I20"/>
      <c r="J20"/>
      <c r="K20" s="27">
        <v>2038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 s="27"/>
      <c r="AE20"/>
      <c r="AF20"/>
      <c r="AG20"/>
      <c r="AH20"/>
      <c r="AI20"/>
      <c r="AJ20"/>
      <c r="AK20"/>
      <c r="AL20"/>
      <c r="AM20"/>
      <c r="AN20"/>
    </row>
    <row r="21" spans="1:40" s="26" customFormat="1" x14ac:dyDescent="0.2">
      <c r="A21"/>
      <c r="B21"/>
      <c r="C21"/>
      <c r="D21"/>
      <c r="E21"/>
      <c r="F21"/>
      <c r="G21"/>
      <c r="H21"/>
      <c r="I21"/>
      <c r="J21"/>
      <c r="K21" s="27">
        <v>2040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 s="27"/>
      <c r="AE21"/>
      <c r="AF21"/>
      <c r="AG21"/>
      <c r="AH21"/>
      <c r="AI21"/>
      <c r="AJ21"/>
      <c r="AK21"/>
      <c r="AL21"/>
      <c r="AM21"/>
      <c r="AN21"/>
    </row>
    <row r="22" spans="1:40" x14ac:dyDescent="0.2">
      <c r="K22" s="27">
        <v>2042</v>
      </c>
      <c r="AD22" s="27"/>
    </row>
    <row r="23" spans="1:40" x14ac:dyDescent="0.2">
      <c r="K23" s="27">
        <v>2044</v>
      </c>
      <c r="AD23" s="27"/>
    </row>
    <row r="24" spans="1:40" x14ac:dyDescent="0.2">
      <c r="K24" s="27">
        <v>2046</v>
      </c>
      <c r="AD24" s="27"/>
    </row>
    <row r="25" spans="1:40" x14ac:dyDescent="0.2">
      <c r="K25" s="27">
        <v>2048</v>
      </c>
      <c r="AD25" s="27"/>
    </row>
    <row r="26" spans="1:40" x14ac:dyDescent="0.2">
      <c r="K26" s="27">
        <v>2050</v>
      </c>
      <c r="AD26" s="27"/>
    </row>
    <row r="27" spans="1:40" x14ac:dyDescent="0.2">
      <c r="K27" s="27">
        <v>2052</v>
      </c>
      <c r="AD27" s="27"/>
    </row>
    <row r="28" spans="1:40" x14ac:dyDescent="0.2">
      <c r="K28" s="27">
        <v>2054</v>
      </c>
      <c r="AD28" s="27"/>
    </row>
    <row r="29" spans="1:40" x14ac:dyDescent="0.2">
      <c r="K29" s="27">
        <v>2056</v>
      </c>
      <c r="AD29" s="27"/>
    </row>
    <row r="30" spans="1:40" x14ac:dyDescent="0.2">
      <c r="K30" s="27">
        <v>2058</v>
      </c>
      <c r="AD30" s="27"/>
    </row>
    <row r="31" spans="1:40" x14ac:dyDescent="0.2">
      <c r="K31" s="27">
        <v>2060</v>
      </c>
      <c r="AD31" s="27"/>
    </row>
    <row r="32" spans="1:40" x14ac:dyDescent="0.2">
      <c r="K32" s="27">
        <v>2062</v>
      </c>
      <c r="AD32" s="27"/>
    </row>
    <row r="33" spans="11:30" x14ac:dyDescent="0.2">
      <c r="K33" s="27">
        <v>2064</v>
      </c>
      <c r="AD33" s="27"/>
    </row>
    <row r="34" spans="11:30" x14ac:dyDescent="0.2">
      <c r="K34" s="27">
        <v>2066</v>
      </c>
      <c r="AD34" s="27"/>
    </row>
    <row r="35" spans="11:30" x14ac:dyDescent="0.2">
      <c r="K35" s="27">
        <v>2068</v>
      </c>
      <c r="AD35" s="27"/>
    </row>
    <row r="36" spans="11:30" x14ac:dyDescent="0.2">
      <c r="K36" s="27">
        <v>2070</v>
      </c>
      <c r="AD36" s="27"/>
    </row>
  </sheetData>
  <mergeCells count="14">
    <mergeCell ref="B1:F1"/>
    <mergeCell ref="H1:M1"/>
    <mergeCell ref="O1:W1"/>
    <mergeCell ref="O4:P4"/>
    <mergeCell ref="R4:U4"/>
    <mergeCell ref="V4:W4"/>
    <mergeCell ref="Z1:AG1"/>
    <mergeCell ref="AH1:AI1"/>
    <mergeCell ref="AJ1:AL2"/>
    <mergeCell ref="R9:S9"/>
    <mergeCell ref="T9:U9"/>
    <mergeCell ref="V9:W9"/>
    <mergeCell ref="Z4:AG4"/>
    <mergeCell ref="AH4:AI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9AAE-56C0-4126-940E-125BBA089D10}">
  <dimension ref="A1:AN36"/>
  <sheetViews>
    <sheetView topLeftCell="G1" zoomScale="80" zoomScaleNormal="80" workbookViewId="0">
      <selection activeCell="N2" sqref="N2"/>
    </sheetView>
  </sheetViews>
  <sheetFormatPr baseColWidth="10" defaultColWidth="8.83203125" defaultRowHeight="15" x14ac:dyDescent="0.2"/>
  <cols>
    <col min="2" max="2" width="11" customWidth="1"/>
    <col min="3" max="3" width="11.5" customWidth="1"/>
    <col min="4" max="4" width="16.33203125" customWidth="1"/>
    <col min="5" max="5" width="31.33203125" customWidth="1"/>
    <col min="6" max="6" width="12.5" customWidth="1"/>
    <col min="7" max="7" width="17.83203125" customWidth="1"/>
    <col min="8" max="8" width="20" customWidth="1"/>
    <col min="9" max="9" width="44.33203125" customWidth="1"/>
    <col min="10" max="10" width="6.6640625" customWidth="1"/>
    <col min="11" max="11" width="10.83203125" customWidth="1"/>
    <col min="12" max="12" width="15.33203125" customWidth="1"/>
    <col min="13" max="14" width="12.33203125" customWidth="1"/>
    <col min="15" max="15" width="18.5" bestFit="1" customWidth="1"/>
    <col min="17" max="17" width="21.5" bestFit="1" customWidth="1"/>
    <col min="18" max="18" width="29.83203125" bestFit="1" customWidth="1"/>
    <col min="19" max="19" width="22.83203125" bestFit="1" customWidth="1"/>
    <col min="20" max="20" width="22.5" bestFit="1" customWidth="1"/>
    <col min="21" max="21" width="17" customWidth="1"/>
    <col min="22" max="22" width="16.33203125" customWidth="1"/>
    <col min="23" max="23" width="25.33203125" bestFit="1" customWidth="1"/>
    <col min="24" max="25" width="25.33203125" customWidth="1"/>
    <col min="26" max="27" width="12.33203125" customWidth="1"/>
    <col min="28" max="28" width="15.6640625" bestFit="1" customWidth="1"/>
    <col min="29" max="29" width="27.1640625" bestFit="1" customWidth="1"/>
    <col min="30" max="30" width="18.1640625" customWidth="1"/>
    <col min="31" max="31" width="27.1640625" customWidth="1"/>
    <col min="32" max="32" width="21.5" bestFit="1" customWidth="1"/>
    <col min="33" max="33" width="8.1640625" bestFit="1" customWidth="1"/>
    <col min="34" max="34" width="11.5" bestFit="1" customWidth="1"/>
    <col min="35" max="35" width="16.1640625" customWidth="1"/>
    <col min="36" max="36" width="18.5" customWidth="1"/>
    <col min="37" max="37" width="18.1640625" customWidth="1"/>
    <col min="38" max="38" width="20.83203125" bestFit="1" customWidth="1"/>
    <col min="39" max="39" width="33.5" bestFit="1" customWidth="1"/>
  </cols>
  <sheetData>
    <row r="1" spans="1:40" x14ac:dyDescent="0.2">
      <c r="B1" s="35" t="s">
        <v>0</v>
      </c>
      <c r="C1" s="35"/>
      <c r="D1" s="35"/>
      <c r="E1" s="35"/>
      <c r="F1" s="35"/>
      <c r="G1" s="2"/>
      <c r="H1" s="36" t="s">
        <v>1</v>
      </c>
      <c r="I1" s="36"/>
      <c r="J1" s="36"/>
      <c r="K1" s="36"/>
      <c r="L1" s="36"/>
      <c r="M1" s="36"/>
      <c r="N1" s="31"/>
      <c r="O1" s="38" t="s">
        <v>2</v>
      </c>
      <c r="P1" s="38"/>
      <c r="Q1" s="38"/>
      <c r="R1" s="38"/>
      <c r="S1" s="38"/>
      <c r="T1" s="38"/>
      <c r="U1" s="38"/>
      <c r="V1" s="38"/>
      <c r="W1" s="38"/>
      <c r="X1" s="29"/>
      <c r="Y1" s="29"/>
      <c r="Z1" s="36" t="s">
        <v>3</v>
      </c>
      <c r="AA1" s="36"/>
      <c r="AB1" s="36"/>
      <c r="AC1" s="36"/>
      <c r="AD1" s="36"/>
      <c r="AE1" s="36"/>
      <c r="AF1" s="36"/>
      <c r="AG1" s="37"/>
      <c r="AH1" s="42" t="s">
        <v>4</v>
      </c>
      <c r="AI1" s="43"/>
      <c r="AJ1" s="46" t="s">
        <v>5</v>
      </c>
      <c r="AK1" s="47"/>
      <c r="AL1" s="47"/>
      <c r="AM1" s="9"/>
    </row>
    <row r="2" spans="1:40" ht="32" x14ac:dyDescent="0.2">
      <c r="A2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4" t="s">
        <v>13</v>
      </c>
      <c r="I2" s="4" t="s">
        <v>14</v>
      </c>
      <c r="J2" s="4" t="s">
        <v>15</v>
      </c>
      <c r="K2" s="4" t="s">
        <v>16</v>
      </c>
      <c r="L2" s="4" t="s">
        <v>17</v>
      </c>
      <c r="M2" s="4" t="s">
        <v>18</v>
      </c>
      <c r="N2" s="34" t="s">
        <v>151</v>
      </c>
      <c r="O2" s="5" t="s">
        <v>19</v>
      </c>
      <c r="P2" s="5" t="s">
        <v>20</v>
      </c>
      <c r="Q2" s="5" t="s">
        <v>21</v>
      </c>
      <c r="R2" s="5" t="s">
        <v>22</v>
      </c>
      <c r="S2" s="5" t="s">
        <v>23</v>
      </c>
      <c r="T2" s="5" t="s">
        <v>24</v>
      </c>
      <c r="U2" s="5" t="s">
        <v>25</v>
      </c>
      <c r="V2" s="5" t="s">
        <v>26</v>
      </c>
      <c r="W2" s="5" t="s">
        <v>27</v>
      </c>
      <c r="X2" s="34" t="s">
        <v>125</v>
      </c>
      <c r="Y2" s="34" t="s">
        <v>126</v>
      </c>
      <c r="Z2" s="4" t="s">
        <v>28</v>
      </c>
      <c r="AA2" s="33" t="s">
        <v>124</v>
      </c>
      <c r="AB2" s="4" t="s">
        <v>29</v>
      </c>
      <c r="AC2" s="13" t="s">
        <v>30</v>
      </c>
      <c r="AD2" s="13"/>
      <c r="AE2" s="13"/>
      <c r="AF2" s="4" t="s">
        <v>96</v>
      </c>
      <c r="AG2" s="16" t="s">
        <v>31</v>
      </c>
      <c r="AH2" s="14" t="s">
        <v>32</v>
      </c>
      <c r="AI2" s="12" t="s">
        <v>33</v>
      </c>
      <c r="AJ2" s="48"/>
      <c r="AK2" s="49"/>
      <c r="AL2" s="49"/>
    </row>
    <row r="3" spans="1:40" x14ac:dyDescent="0.2">
      <c r="A3" t="s">
        <v>34</v>
      </c>
      <c r="B3" s="3"/>
      <c r="C3" s="3"/>
      <c r="D3" s="3"/>
      <c r="E3" s="3"/>
      <c r="F3" s="3"/>
      <c r="G3" s="3"/>
      <c r="H3" s="4"/>
      <c r="I3" s="4"/>
      <c r="J3" s="4"/>
      <c r="K3" s="4"/>
      <c r="L3" s="4"/>
      <c r="M3" s="4"/>
      <c r="N3" s="4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4"/>
      <c r="AA3" s="4"/>
      <c r="AB3" s="4"/>
      <c r="AC3" s="13"/>
      <c r="AD3" s="13"/>
      <c r="AE3" s="13"/>
      <c r="AF3" s="4"/>
      <c r="AG3" s="23"/>
      <c r="AH3" s="14"/>
      <c r="AI3" s="24" t="s">
        <v>102</v>
      </c>
      <c r="AJ3" s="17"/>
      <c r="AK3" s="20"/>
      <c r="AL3" s="20"/>
    </row>
    <row r="4" spans="1:40" hidden="1" x14ac:dyDescent="0.2">
      <c r="A4" t="s">
        <v>35</v>
      </c>
      <c r="B4" s="3" t="s">
        <v>36</v>
      </c>
      <c r="C4" s="3" t="s">
        <v>36</v>
      </c>
      <c r="D4" s="3" t="s">
        <v>37</v>
      </c>
      <c r="E4" s="3" t="s">
        <v>36</v>
      </c>
      <c r="F4" s="3" t="s">
        <v>36</v>
      </c>
      <c r="G4" s="3"/>
      <c r="H4" s="4" t="s">
        <v>38</v>
      </c>
      <c r="I4" s="4" t="s">
        <v>39</v>
      </c>
      <c r="J4" s="4" t="s">
        <v>40</v>
      </c>
      <c r="K4" s="4" t="s">
        <v>41</v>
      </c>
      <c r="L4" s="4" t="s">
        <v>17</v>
      </c>
      <c r="M4" s="4" t="s">
        <v>42</v>
      </c>
      <c r="N4" s="4"/>
      <c r="O4" s="39" t="s">
        <v>43</v>
      </c>
      <c r="P4" s="39"/>
      <c r="Q4" s="6"/>
      <c r="R4" s="39" t="s">
        <v>44</v>
      </c>
      <c r="S4" s="39"/>
      <c r="T4" s="39"/>
      <c r="U4" s="39"/>
      <c r="V4" s="39" t="s">
        <v>45</v>
      </c>
      <c r="W4" s="39"/>
      <c r="X4" s="6"/>
      <c r="Y4" s="6"/>
      <c r="Z4" s="40" t="s">
        <v>46</v>
      </c>
      <c r="AA4" s="40"/>
      <c r="AB4" s="40"/>
      <c r="AC4" s="40"/>
      <c r="AD4" s="40"/>
      <c r="AE4" s="40"/>
      <c r="AF4" s="40"/>
      <c r="AG4" s="41"/>
      <c r="AH4" s="44" t="s">
        <v>47</v>
      </c>
      <c r="AI4" s="45"/>
      <c r="AJ4" s="18" t="s">
        <v>48</v>
      </c>
      <c r="AK4" s="19" t="s">
        <v>49</v>
      </c>
      <c r="AL4" s="19" t="s">
        <v>32</v>
      </c>
    </row>
    <row r="5" spans="1:40" hidden="1" x14ac:dyDescent="0.2">
      <c r="A5" t="s">
        <v>50</v>
      </c>
      <c r="B5" s="3"/>
      <c r="C5" s="3"/>
      <c r="D5" s="3"/>
      <c r="E5" s="3"/>
      <c r="F5" s="3"/>
      <c r="G5" s="3"/>
      <c r="H5" s="4"/>
      <c r="I5" s="4"/>
      <c r="J5" s="4"/>
      <c r="K5" s="4"/>
      <c r="L5" s="4"/>
      <c r="M5" s="4"/>
      <c r="N5" s="4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7"/>
      <c r="AA5" s="7"/>
      <c r="AB5" s="7"/>
      <c r="AC5" s="7"/>
      <c r="AD5" s="7"/>
      <c r="AE5" s="7"/>
      <c r="AF5" s="7"/>
      <c r="AG5" s="11"/>
      <c r="AH5" s="21"/>
      <c r="AI5" s="22"/>
      <c r="AJ5" s="18"/>
      <c r="AK5" s="19"/>
      <c r="AL5" s="19"/>
    </row>
    <row r="6" spans="1:40" hidden="1" x14ac:dyDescent="0.2">
      <c r="A6" t="s">
        <v>51</v>
      </c>
      <c r="B6" s="3"/>
      <c r="C6" s="3"/>
      <c r="D6" s="3"/>
      <c r="E6" s="3"/>
      <c r="F6" s="3"/>
      <c r="G6" s="3"/>
      <c r="H6" s="4"/>
      <c r="I6" s="4"/>
      <c r="J6" s="4"/>
      <c r="K6" s="4"/>
      <c r="L6" s="4"/>
      <c r="M6" s="4"/>
      <c r="N6" s="4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7"/>
      <c r="AA6" s="7"/>
      <c r="AB6" s="7"/>
      <c r="AC6" s="7"/>
      <c r="AD6" s="7"/>
      <c r="AE6" s="7"/>
      <c r="AF6" s="7"/>
      <c r="AG6" s="11"/>
      <c r="AH6" s="21"/>
      <c r="AI6" s="22"/>
      <c r="AJ6" s="18"/>
      <c r="AK6" s="19"/>
      <c r="AL6" s="19"/>
    </row>
    <row r="7" spans="1:40" hidden="1" x14ac:dyDescent="0.2">
      <c r="A7" t="s">
        <v>52</v>
      </c>
      <c r="B7" s="3"/>
      <c r="C7" s="3"/>
      <c r="D7" s="3"/>
      <c r="E7" s="3"/>
      <c r="F7" s="3"/>
      <c r="G7" s="3"/>
      <c r="H7" s="4"/>
      <c r="I7" s="4"/>
      <c r="J7" s="4"/>
      <c r="K7" s="4"/>
      <c r="L7" s="4"/>
      <c r="M7" s="4"/>
      <c r="N7" s="4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7"/>
      <c r="AA7" s="7"/>
      <c r="AB7" s="7"/>
      <c r="AC7" s="7"/>
      <c r="AD7" s="7"/>
      <c r="AE7" s="7"/>
      <c r="AF7" s="7"/>
      <c r="AG7" s="11"/>
      <c r="AH7" s="21"/>
      <c r="AI7" s="22"/>
      <c r="AJ7" s="18"/>
      <c r="AK7" s="19"/>
      <c r="AL7" s="19"/>
    </row>
    <row r="8" spans="1:40" ht="96" x14ac:dyDescent="0.2">
      <c r="A8" t="s">
        <v>53</v>
      </c>
      <c r="B8" s="8" t="s">
        <v>36</v>
      </c>
      <c r="C8" s="8" t="s">
        <v>36</v>
      </c>
      <c r="D8" s="8" t="s">
        <v>54</v>
      </c>
      <c r="E8" s="8"/>
      <c r="F8" s="8" t="s">
        <v>36</v>
      </c>
      <c r="G8" s="8"/>
      <c r="H8" s="8" t="s">
        <v>55</v>
      </c>
      <c r="I8" s="8" t="s">
        <v>56</v>
      </c>
      <c r="J8" s="8" t="s">
        <v>57</v>
      </c>
      <c r="K8" s="8" t="s">
        <v>41</v>
      </c>
      <c r="L8" s="8" t="s">
        <v>58</v>
      </c>
      <c r="M8" s="8" t="s">
        <v>59</v>
      </c>
      <c r="N8" s="8"/>
      <c r="O8" s="8" t="s">
        <v>60</v>
      </c>
      <c r="P8" s="8" t="s">
        <v>61</v>
      </c>
      <c r="Q8" s="8" t="s">
        <v>62</v>
      </c>
      <c r="R8" s="8" t="s">
        <v>63</v>
      </c>
      <c r="S8" s="8" t="s">
        <v>64</v>
      </c>
      <c r="T8" s="8" t="s">
        <v>65</v>
      </c>
      <c r="U8" s="8" t="s">
        <v>66</v>
      </c>
      <c r="V8" s="8" t="s">
        <v>67</v>
      </c>
      <c r="W8" s="8" t="s">
        <v>68</v>
      </c>
      <c r="X8" s="8"/>
      <c r="Y8" s="8"/>
      <c r="Z8" s="8" t="s">
        <v>69</v>
      </c>
      <c r="AA8" s="8"/>
      <c r="AB8" s="8" t="s">
        <v>70</v>
      </c>
      <c r="AC8" s="8" t="s">
        <v>71</v>
      </c>
      <c r="AD8" s="32" t="s">
        <v>110</v>
      </c>
      <c r="AE8" s="8" t="s">
        <v>101</v>
      </c>
      <c r="AF8" s="8" t="s">
        <v>95</v>
      </c>
      <c r="AG8" s="8"/>
      <c r="AH8" s="10" t="s">
        <v>72</v>
      </c>
      <c r="AI8" s="10"/>
      <c r="AJ8" s="15" t="s">
        <v>73</v>
      </c>
      <c r="AK8" s="15" t="s">
        <v>74</v>
      </c>
      <c r="AL8" s="15" t="s">
        <v>75</v>
      </c>
    </row>
    <row r="9" spans="1:40" ht="32" x14ac:dyDescent="0.2">
      <c r="A9" t="s">
        <v>76</v>
      </c>
      <c r="B9" s="8"/>
      <c r="C9" s="8"/>
      <c r="D9" s="8"/>
      <c r="E9" s="8"/>
      <c r="F9" s="8"/>
      <c r="G9" s="8"/>
      <c r="H9" s="8"/>
      <c r="I9" s="8"/>
      <c r="J9" s="8"/>
      <c r="K9" s="8"/>
      <c r="L9" s="8" t="s">
        <v>77</v>
      </c>
      <c r="M9" s="8"/>
      <c r="N9" s="8"/>
      <c r="O9" s="8"/>
      <c r="P9" s="8"/>
      <c r="Q9" s="8"/>
      <c r="R9" s="50" t="s">
        <v>78</v>
      </c>
      <c r="S9" s="50"/>
      <c r="T9" s="51" t="s">
        <v>79</v>
      </c>
      <c r="U9" s="52"/>
      <c r="V9" s="51" t="s">
        <v>116</v>
      </c>
      <c r="W9" s="52"/>
      <c r="X9" s="30"/>
      <c r="Y9" s="30"/>
      <c r="Z9" s="8"/>
      <c r="AA9" s="8"/>
      <c r="AB9" s="25" t="s">
        <v>99</v>
      </c>
      <c r="AC9" s="8"/>
      <c r="AD9" s="8" t="s">
        <v>135</v>
      </c>
      <c r="AE9" s="8"/>
      <c r="AF9" s="8"/>
      <c r="AG9" s="8" t="s">
        <v>81</v>
      </c>
      <c r="AH9" s="10" t="s">
        <v>61</v>
      </c>
      <c r="AI9" s="10"/>
      <c r="AJ9" s="8"/>
      <c r="AK9" s="8"/>
      <c r="AL9" s="8" t="s">
        <v>81</v>
      </c>
    </row>
    <row r="10" spans="1:40" s="26" customFormat="1" x14ac:dyDescent="0.2">
      <c r="A10" t="s">
        <v>141</v>
      </c>
      <c r="B10" t="s">
        <v>83</v>
      </c>
      <c r="C10" t="s">
        <v>84</v>
      </c>
      <c r="D10" t="s">
        <v>85</v>
      </c>
      <c r="E10" t="s">
        <v>142</v>
      </c>
      <c r="F10" t="s">
        <v>84</v>
      </c>
      <c r="G10" t="s">
        <v>100</v>
      </c>
      <c r="H10" t="s">
        <v>143</v>
      </c>
      <c r="I10" t="s">
        <v>144</v>
      </c>
      <c r="J10" t="s">
        <v>89</v>
      </c>
      <c r="K10" s="27">
        <v>2018</v>
      </c>
      <c r="L10">
        <v>2018</v>
      </c>
      <c r="M10">
        <v>20</v>
      </c>
      <c r="N10"/>
      <c r="O10">
        <v>0</v>
      </c>
      <c r="P10" t="s">
        <v>61</v>
      </c>
      <c r="Q10" t="s">
        <v>90</v>
      </c>
      <c r="R10">
        <v>161.454778498758</v>
      </c>
      <c r="S10" t="s">
        <v>61</v>
      </c>
      <c r="T10">
        <v>5.5839141232075598</v>
      </c>
      <c r="U10" t="s">
        <v>132</v>
      </c>
      <c r="V10">
        <v>0</v>
      </c>
      <c r="W10" t="s">
        <v>93</v>
      </c>
      <c r="X10"/>
      <c r="Y10"/>
      <c r="Z10" t="s">
        <v>145</v>
      </c>
      <c r="AA10">
        <v>1</v>
      </c>
      <c r="AB10">
        <v>1</v>
      </c>
      <c r="AC10" t="s">
        <v>134</v>
      </c>
      <c r="AD10" s="27">
        <v>5782.3006901996296</v>
      </c>
      <c r="AE10" t="s">
        <v>109</v>
      </c>
      <c r="AF10">
        <v>1</v>
      </c>
      <c r="AG10" t="s">
        <v>109</v>
      </c>
      <c r="AH10">
        <v>20.816282484718599</v>
      </c>
      <c r="AI10" t="s">
        <v>98</v>
      </c>
      <c r="AJ10"/>
      <c r="AK10"/>
      <c r="AL10"/>
      <c r="AM10"/>
      <c r="AN10"/>
    </row>
    <row r="11" spans="1:40" s="26" customFormat="1" x14ac:dyDescent="0.2">
      <c r="A11"/>
      <c r="B11"/>
      <c r="C11"/>
      <c r="D11"/>
      <c r="E11"/>
      <c r="F11"/>
      <c r="G11"/>
      <c r="H11"/>
      <c r="I11"/>
      <c r="J11"/>
      <c r="K11" s="27">
        <v>2020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 s="27">
        <v>5861.9594894827997</v>
      </c>
      <c r="AE11"/>
      <c r="AF11"/>
      <c r="AG11"/>
      <c r="AH11"/>
      <c r="AI11"/>
      <c r="AJ11"/>
      <c r="AK11"/>
      <c r="AL11"/>
      <c r="AM11"/>
      <c r="AN11"/>
    </row>
    <row r="12" spans="1:40" s="26" customFormat="1" x14ac:dyDescent="0.2">
      <c r="A12"/>
      <c r="B12"/>
      <c r="C12"/>
      <c r="D12"/>
      <c r="E12"/>
      <c r="F12"/>
      <c r="G12"/>
      <c r="H12"/>
      <c r="I12"/>
      <c r="J12"/>
      <c r="K12" s="27">
        <v>2022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 s="27"/>
      <c r="AE12"/>
      <c r="AF12"/>
      <c r="AG12"/>
      <c r="AH12"/>
      <c r="AI12"/>
      <c r="AJ12"/>
      <c r="AK12"/>
      <c r="AL12"/>
      <c r="AM12"/>
      <c r="AN12"/>
    </row>
    <row r="13" spans="1:40" s="26" customFormat="1" x14ac:dyDescent="0.2">
      <c r="A13"/>
      <c r="B13"/>
      <c r="C13"/>
      <c r="D13"/>
      <c r="E13"/>
      <c r="F13"/>
      <c r="G13"/>
      <c r="H13"/>
      <c r="I13"/>
      <c r="J13"/>
      <c r="K13" s="27">
        <v>2024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 s="27"/>
      <c r="AE13"/>
      <c r="AF13"/>
      <c r="AG13"/>
      <c r="AH13"/>
      <c r="AI13"/>
      <c r="AJ13"/>
      <c r="AK13"/>
      <c r="AL13"/>
      <c r="AM13"/>
      <c r="AN13"/>
    </row>
    <row r="14" spans="1:40" s="26" customFormat="1" x14ac:dyDescent="0.2">
      <c r="A14"/>
      <c r="B14"/>
      <c r="C14"/>
      <c r="D14"/>
      <c r="E14"/>
      <c r="F14"/>
      <c r="G14"/>
      <c r="H14"/>
      <c r="I14"/>
      <c r="J14"/>
      <c r="K14" s="27">
        <v>2026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 s="27"/>
      <c r="AE14"/>
      <c r="AF14"/>
      <c r="AG14"/>
      <c r="AH14"/>
      <c r="AI14"/>
      <c r="AJ14"/>
      <c r="AK14"/>
      <c r="AL14"/>
      <c r="AM14"/>
      <c r="AN14"/>
    </row>
    <row r="15" spans="1:40" s="26" customFormat="1" x14ac:dyDescent="0.2">
      <c r="A15"/>
      <c r="B15"/>
      <c r="C15"/>
      <c r="D15"/>
      <c r="E15"/>
      <c r="F15"/>
      <c r="G15"/>
      <c r="H15"/>
      <c r="I15"/>
      <c r="J15"/>
      <c r="K15" s="27">
        <v>2028</v>
      </c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 s="27"/>
      <c r="AE15"/>
      <c r="AF15"/>
      <c r="AG15"/>
      <c r="AH15"/>
      <c r="AI15"/>
      <c r="AJ15"/>
      <c r="AK15"/>
      <c r="AL15"/>
      <c r="AM15"/>
      <c r="AN15"/>
    </row>
    <row r="16" spans="1:40" s="26" customFormat="1" x14ac:dyDescent="0.2">
      <c r="A16"/>
      <c r="B16"/>
      <c r="C16"/>
      <c r="D16"/>
      <c r="E16"/>
      <c r="F16"/>
      <c r="G16"/>
      <c r="H16"/>
      <c r="I16"/>
      <c r="J16"/>
      <c r="K16" s="27">
        <v>2030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 s="27"/>
      <c r="AE16"/>
      <c r="AF16"/>
      <c r="AG16"/>
      <c r="AH16"/>
      <c r="AI16"/>
      <c r="AJ16"/>
      <c r="AK16"/>
      <c r="AL16"/>
      <c r="AM16"/>
      <c r="AN16"/>
    </row>
    <row r="17" spans="1:40" s="26" customFormat="1" x14ac:dyDescent="0.2">
      <c r="A17"/>
      <c r="B17"/>
      <c r="C17"/>
      <c r="D17"/>
      <c r="E17"/>
      <c r="F17"/>
      <c r="G17"/>
      <c r="H17"/>
      <c r="I17"/>
      <c r="J17"/>
      <c r="K17" s="27">
        <v>2032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7"/>
      <c r="AE17"/>
      <c r="AF17"/>
      <c r="AG17"/>
      <c r="AH17"/>
      <c r="AI17"/>
      <c r="AJ17"/>
      <c r="AK17"/>
      <c r="AL17"/>
      <c r="AM17"/>
      <c r="AN17"/>
    </row>
    <row r="18" spans="1:40" s="26" customFormat="1" x14ac:dyDescent="0.2">
      <c r="A18"/>
      <c r="B18"/>
      <c r="C18"/>
      <c r="D18"/>
      <c r="E18"/>
      <c r="F18"/>
      <c r="G18"/>
      <c r="H18"/>
      <c r="I18"/>
      <c r="J18"/>
      <c r="K18" s="27">
        <v>2034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 s="27"/>
      <c r="AE18"/>
      <c r="AF18"/>
      <c r="AG18"/>
      <c r="AH18"/>
      <c r="AI18"/>
      <c r="AJ18"/>
      <c r="AK18"/>
      <c r="AL18"/>
      <c r="AM18"/>
      <c r="AN18"/>
    </row>
    <row r="19" spans="1:40" s="26" customFormat="1" x14ac:dyDescent="0.2">
      <c r="A19"/>
      <c r="B19"/>
      <c r="C19"/>
      <c r="D19"/>
      <c r="E19"/>
      <c r="F19"/>
      <c r="G19"/>
      <c r="H19"/>
      <c r="I19"/>
      <c r="J19"/>
      <c r="K19" s="27">
        <v>2036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 s="27"/>
      <c r="AE19"/>
      <c r="AF19"/>
      <c r="AG19"/>
      <c r="AH19"/>
      <c r="AI19"/>
      <c r="AJ19"/>
      <c r="AK19"/>
      <c r="AL19"/>
      <c r="AM19"/>
      <c r="AN19"/>
    </row>
    <row r="20" spans="1:40" s="26" customFormat="1" x14ac:dyDescent="0.2">
      <c r="A20"/>
      <c r="B20"/>
      <c r="C20"/>
      <c r="D20"/>
      <c r="E20"/>
      <c r="F20"/>
      <c r="G20"/>
      <c r="H20"/>
      <c r="I20"/>
      <c r="J20"/>
      <c r="K20" s="27">
        <v>2038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 s="27"/>
      <c r="AE20"/>
      <c r="AF20"/>
      <c r="AG20"/>
      <c r="AH20"/>
      <c r="AI20"/>
      <c r="AJ20"/>
      <c r="AK20"/>
      <c r="AL20"/>
      <c r="AM20"/>
      <c r="AN20"/>
    </row>
    <row r="21" spans="1:40" s="26" customFormat="1" x14ac:dyDescent="0.2">
      <c r="A21"/>
      <c r="B21"/>
      <c r="C21"/>
      <c r="D21"/>
      <c r="E21"/>
      <c r="F21"/>
      <c r="G21"/>
      <c r="H21"/>
      <c r="I21"/>
      <c r="J21"/>
      <c r="K21" s="27">
        <v>2040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 s="27"/>
      <c r="AE21"/>
      <c r="AF21"/>
      <c r="AG21"/>
      <c r="AH21"/>
      <c r="AI21"/>
      <c r="AJ21"/>
      <c r="AK21"/>
      <c r="AL21"/>
      <c r="AM21"/>
      <c r="AN21"/>
    </row>
    <row r="22" spans="1:40" x14ac:dyDescent="0.2">
      <c r="K22" s="27">
        <v>2042</v>
      </c>
      <c r="AD22" s="27"/>
    </row>
    <row r="23" spans="1:40" x14ac:dyDescent="0.2">
      <c r="K23" s="27">
        <v>2044</v>
      </c>
      <c r="AD23" s="27"/>
    </row>
    <row r="24" spans="1:40" x14ac:dyDescent="0.2">
      <c r="K24" s="27">
        <v>2046</v>
      </c>
      <c r="AD24" s="27"/>
    </row>
    <row r="25" spans="1:40" x14ac:dyDescent="0.2">
      <c r="K25" s="27">
        <v>2048</v>
      </c>
      <c r="AD25" s="27"/>
    </row>
    <row r="26" spans="1:40" x14ac:dyDescent="0.2">
      <c r="K26" s="27">
        <v>2050</v>
      </c>
      <c r="AD26" s="27"/>
    </row>
    <row r="27" spans="1:40" x14ac:dyDescent="0.2">
      <c r="K27" s="27">
        <v>2052</v>
      </c>
      <c r="AD27" s="27"/>
    </row>
    <row r="28" spans="1:40" x14ac:dyDescent="0.2">
      <c r="K28" s="27">
        <v>2054</v>
      </c>
      <c r="AD28" s="27"/>
    </row>
    <row r="29" spans="1:40" x14ac:dyDescent="0.2">
      <c r="K29" s="27">
        <v>2056</v>
      </c>
      <c r="AD29" s="27"/>
    </row>
    <row r="30" spans="1:40" x14ac:dyDescent="0.2">
      <c r="K30" s="27">
        <v>2058</v>
      </c>
      <c r="AD30" s="27"/>
    </row>
    <row r="31" spans="1:40" x14ac:dyDescent="0.2">
      <c r="K31" s="27">
        <v>2060</v>
      </c>
      <c r="AD31" s="27"/>
    </row>
    <row r="32" spans="1:40" x14ac:dyDescent="0.2">
      <c r="K32" s="27">
        <v>2062</v>
      </c>
      <c r="AD32" s="27"/>
    </row>
    <row r="33" spans="11:30" x14ac:dyDescent="0.2">
      <c r="K33" s="27">
        <v>2064</v>
      </c>
      <c r="AD33" s="27"/>
    </row>
    <row r="34" spans="11:30" x14ac:dyDescent="0.2">
      <c r="K34" s="27">
        <v>2066</v>
      </c>
      <c r="AD34" s="27"/>
    </row>
    <row r="35" spans="11:30" x14ac:dyDescent="0.2">
      <c r="K35" s="27">
        <v>2068</v>
      </c>
      <c r="AD35" s="27"/>
    </row>
    <row r="36" spans="11:30" x14ac:dyDescent="0.2">
      <c r="K36" s="27">
        <v>2070</v>
      </c>
      <c r="AD36" s="27"/>
    </row>
  </sheetData>
  <mergeCells count="14">
    <mergeCell ref="B1:F1"/>
    <mergeCell ref="H1:M1"/>
    <mergeCell ref="O1:W1"/>
    <mergeCell ref="O4:P4"/>
    <mergeCell ref="R4:U4"/>
    <mergeCell ref="V4:W4"/>
    <mergeCell ref="Z1:AG1"/>
    <mergeCell ref="AH1:AI1"/>
    <mergeCell ref="AJ1:AL2"/>
    <mergeCell ref="R9:S9"/>
    <mergeCell ref="T9:U9"/>
    <mergeCell ref="V9:W9"/>
    <mergeCell ref="Z4:AG4"/>
    <mergeCell ref="AH4:AI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BFCB-2461-43AB-9CFB-1B988F3A6F05}">
  <dimension ref="A1:AN36"/>
  <sheetViews>
    <sheetView topLeftCell="G1" zoomScale="80" zoomScaleNormal="80" workbookViewId="0">
      <selection activeCell="N10" sqref="N10"/>
    </sheetView>
  </sheetViews>
  <sheetFormatPr baseColWidth="10" defaultColWidth="8.83203125" defaultRowHeight="15" x14ac:dyDescent="0.2"/>
  <cols>
    <col min="2" max="2" width="11" customWidth="1"/>
    <col min="3" max="3" width="11.5" customWidth="1"/>
    <col min="4" max="4" width="16.33203125" customWidth="1"/>
    <col min="5" max="5" width="31.33203125" customWidth="1"/>
    <col min="6" max="6" width="12.5" customWidth="1"/>
    <col min="7" max="7" width="17.83203125" customWidth="1"/>
    <col min="8" max="8" width="20" customWidth="1"/>
    <col min="9" max="9" width="44.33203125" customWidth="1"/>
    <col min="10" max="10" width="6.6640625" customWidth="1"/>
    <col min="11" max="11" width="10.83203125" customWidth="1"/>
    <col min="12" max="12" width="15.33203125" customWidth="1"/>
    <col min="13" max="14" width="12.33203125" customWidth="1"/>
    <col min="15" max="15" width="18.5" bestFit="1" customWidth="1"/>
    <col min="17" max="17" width="21.5" bestFit="1" customWidth="1"/>
    <col min="18" max="18" width="29.83203125" bestFit="1" customWidth="1"/>
    <col min="19" max="19" width="22.83203125" bestFit="1" customWidth="1"/>
    <col min="20" max="20" width="22.5" bestFit="1" customWidth="1"/>
    <col min="21" max="21" width="17" customWidth="1"/>
    <col min="22" max="22" width="16.33203125" customWidth="1"/>
    <col min="23" max="23" width="25.33203125" bestFit="1" customWidth="1"/>
    <col min="24" max="25" width="25.33203125" customWidth="1"/>
    <col min="26" max="27" width="12.33203125" customWidth="1"/>
    <col min="28" max="28" width="15.6640625" bestFit="1" customWidth="1"/>
    <col min="29" max="29" width="27.1640625" bestFit="1" customWidth="1"/>
    <col min="30" max="30" width="18.1640625" customWidth="1"/>
    <col min="31" max="31" width="27.1640625" customWidth="1"/>
    <col min="32" max="32" width="21.5" bestFit="1" customWidth="1"/>
    <col min="33" max="33" width="8.1640625" bestFit="1" customWidth="1"/>
    <col min="34" max="34" width="11.5" bestFit="1" customWidth="1"/>
    <col min="35" max="35" width="16.1640625" customWidth="1"/>
    <col min="36" max="36" width="18.5" customWidth="1"/>
    <col min="37" max="37" width="18.1640625" customWidth="1"/>
    <col min="38" max="38" width="20.83203125" bestFit="1" customWidth="1"/>
    <col min="39" max="39" width="33.5" bestFit="1" customWidth="1"/>
  </cols>
  <sheetData>
    <row r="1" spans="1:40" x14ac:dyDescent="0.2">
      <c r="B1" s="35" t="s">
        <v>0</v>
      </c>
      <c r="C1" s="35"/>
      <c r="D1" s="35"/>
      <c r="E1" s="35"/>
      <c r="F1" s="35"/>
      <c r="G1" s="2"/>
      <c r="H1" s="36" t="s">
        <v>1</v>
      </c>
      <c r="I1" s="36"/>
      <c r="J1" s="36"/>
      <c r="K1" s="36"/>
      <c r="L1" s="36"/>
      <c r="M1" s="36"/>
      <c r="N1" s="31"/>
      <c r="O1" s="38" t="s">
        <v>2</v>
      </c>
      <c r="P1" s="38"/>
      <c r="Q1" s="38"/>
      <c r="R1" s="38"/>
      <c r="S1" s="38"/>
      <c r="T1" s="38"/>
      <c r="U1" s="38"/>
      <c r="V1" s="38"/>
      <c r="W1" s="38"/>
      <c r="X1" s="29"/>
      <c r="Y1" s="29"/>
      <c r="Z1" s="36" t="s">
        <v>3</v>
      </c>
      <c r="AA1" s="36"/>
      <c r="AB1" s="36"/>
      <c r="AC1" s="36"/>
      <c r="AD1" s="36"/>
      <c r="AE1" s="36"/>
      <c r="AF1" s="36"/>
      <c r="AG1" s="37"/>
      <c r="AH1" s="42" t="s">
        <v>4</v>
      </c>
      <c r="AI1" s="43"/>
      <c r="AJ1" s="46" t="s">
        <v>5</v>
      </c>
      <c r="AK1" s="47"/>
      <c r="AL1" s="47"/>
      <c r="AM1" s="9"/>
    </row>
    <row r="2" spans="1:40" ht="32" x14ac:dyDescent="0.2">
      <c r="A2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4" t="s">
        <v>13</v>
      </c>
      <c r="I2" s="4" t="s">
        <v>14</v>
      </c>
      <c r="J2" s="4" t="s">
        <v>15</v>
      </c>
      <c r="K2" s="4" t="s">
        <v>16</v>
      </c>
      <c r="L2" s="4" t="s">
        <v>17</v>
      </c>
      <c r="M2" s="4" t="s">
        <v>18</v>
      </c>
      <c r="N2" s="34" t="s">
        <v>151</v>
      </c>
      <c r="O2" s="5" t="s">
        <v>19</v>
      </c>
      <c r="P2" s="5" t="s">
        <v>20</v>
      </c>
      <c r="Q2" s="5" t="s">
        <v>21</v>
      </c>
      <c r="R2" s="5" t="s">
        <v>22</v>
      </c>
      <c r="S2" s="5" t="s">
        <v>23</v>
      </c>
      <c r="T2" s="5" t="s">
        <v>24</v>
      </c>
      <c r="U2" s="5" t="s">
        <v>25</v>
      </c>
      <c r="V2" s="5" t="s">
        <v>26</v>
      </c>
      <c r="W2" s="5" t="s">
        <v>27</v>
      </c>
      <c r="X2" s="34" t="s">
        <v>125</v>
      </c>
      <c r="Y2" s="34" t="s">
        <v>126</v>
      </c>
      <c r="Z2" s="4" t="s">
        <v>28</v>
      </c>
      <c r="AA2" s="33" t="s">
        <v>124</v>
      </c>
      <c r="AB2" s="4" t="s">
        <v>29</v>
      </c>
      <c r="AC2" s="13" t="s">
        <v>30</v>
      </c>
      <c r="AD2" s="13"/>
      <c r="AE2" s="13"/>
      <c r="AF2" s="4" t="s">
        <v>96</v>
      </c>
      <c r="AG2" s="16" t="s">
        <v>31</v>
      </c>
      <c r="AH2" s="14" t="s">
        <v>32</v>
      </c>
      <c r="AI2" s="12" t="s">
        <v>33</v>
      </c>
      <c r="AJ2" s="48"/>
      <c r="AK2" s="49"/>
      <c r="AL2" s="49"/>
    </row>
    <row r="3" spans="1:40" x14ac:dyDescent="0.2">
      <c r="A3" t="s">
        <v>34</v>
      </c>
      <c r="B3" s="3"/>
      <c r="C3" s="3"/>
      <c r="D3" s="3"/>
      <c r="E3" s="3"/>
      <c r="F3" s="3"/>
      <c r="G3" s="3"/>
      <c r="H3" s="4"/>
      <c r="I3" s="4"/>
      <c r="J3" s="4"/>
      <c r="K3" s="4"/>
      <c r="L3" s="4"/>
      <c r="M3" s="4"/>
      <c r="N3" s="4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4"/>
      <c r="AA3" s="4"/>
      <c r="AB3" s="4"/>
      <c r="AC3" s="13"/>
      <c r="AD3" s="13"/>
      <c r="AE3" s="13"/>
      <c r="AF3" s="4"/>
      <c r="AG3" s="23"/>
      <c r="AH3" s="14"/>
      <c r="AI3" s="24" t="s">
        <v>102</v>
      </c>
      <c r="AJ3" s="17"/>
      <c r="AK3" s="20"/>
      <c r="AL3" s="20"/>
    </row>
    <row r="4" spans="1:40" hidden="1" x14ac:dyDescent="0.2">
      <c r="A4" t="s">
        <v>35</v>
      </c>
      <c r="B4" s="3" t="s">
        <v>36</v>
      </c>
      <c r="C4" s="3" t="s">
        <v>36</v>
      </c>
      <c r="D4" s="3" t="s">
        <v>37</v>
      </c>
      <c r="E4" s="3" t="s">
        <v>36</v>
      </c>
      <c r="F4" s="3" t="s">
        <v>36</v>
      </c>
      <c r="G4" s="3"/>
      <c r="H4" s="4" t="s">
        <v>38</v>
      </c>
      <c r="I4" s="4" t="s">
        <v>39</v>
      </c>
      <c r="J4" s="4" t="s">
        <v>40</v>
      </c>
      <c r="K4" s="4" t="s">
        <v>41</v>
      </c>
      <c r="L4" s="4" t="s">
        <v>17</v>
      </c>
      <c r="M4" s="4" t="s">
        <v>42</v>
      </c>
      <c r="N4" s="4"/>
      <c r="O4" s="39" t="s">
        <v>43</v>
      </c>
      <c r="P4" s="39"/>
      <c r="Q4" s="6"/>
      <c r="R4" s="39" t="s">
        <v>44</v>
      </c>
      <c r="S4" s="39"/>
      <c r="T4" s="39"/>
      <c r="U4" s="39"/>
      <c r="V4" s="39" t="s">
        <v>45</v>
      </c>
      <c r="W4" s="39"/>
      <c r="X4" s="6"/>
      <c r="Y4" s="6"/>
      <c r="Z4" s="40" t="s">
        <v>46</v>
      </c>
      <c r="AA4" s="40"/>
      <c r="AB4" s="40"/>
      <c r="AC4" s="40"/>
      <c r="AD4" s="40"/>
      <c r="AE4" s="40"/>
      <c r="AF4" s="40"/>
      <c r="AG4" s="41"/>
      <c r="AH4" s="44" t="s">
        <v>47</v>
      </c>
      <c r="AI4" s="45"/>
      <c r="AJ4" s="18" t="s">
        <v>48</v>
      </c>
      <c r="AK4" s="19" t="s">
        <v>49</v>
      </c>
      <c r="AL4" s="19" t="s">
        <v>32</v>
      </c>
    </row>
    <row r="5" spans="1:40" hidden="1" x14ac:dyDescent="0.2">
      <c r="A5" t="s">
        <v>50</v>
      </c>
      <c r="B5" s="3"/>
      <c r="C5" s="3"/>
      <c r="D5" s="3"/>
      <c r="E5" s="3"/>
      <c r="F5" s="3"/>
      <c r="G5" s="3"/>
      <c r="H5" s="4"/>
      <c r="I5" s="4"/>
      <c r="J5" s="4"/>
      <c r="K5" s="4"/>
      <c r="L5" s="4"/>
      <c r="M5" s="4"/>
      <c r="N5" s="4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7"/>
      <c r="AA5" s="7"/>
      <c r="AB5" s="7"/>
      <c r="AC5" s="7"/>
      <c r="AD5" s="7"/>
      <c r="AE5" s="7"/>
      <c r="AF5" s="7"/>
      <c r="AG5" s="11"/>
      <c r="AH5" s="21"/>
      <c r="AI5" s="22"/>
      <c r="AJ5" s="18"/>
      <c r="AK5" s="19"/>
      <c r="AL5" s="19"/>
    </row>
    <row r="6" spans="1:40" hidden="1" x14ac:dyDescent="0.2">
      <c r="A6" t="s">
        <v>51</v>
      </c>
      <c r="B6" s="3"/>
      <c r="C6" s="3"/>
      <c r="D6" s="3"/>
      <c r="E6" s="3"/>
      <c r="F6" s="3"/>
      <c r="G6" s="3"/>
      <c r="H6" s="4"/>
      <c r="I6" s="4"/>
      <c r="J6" s="4"/>
      <c r="K6" s="4"/>
      <c r="L6" s="4"/>
      <c r="M6" s="4"/>
      <c r="N6" s="4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7"/>
      <c r="AA6" s="7"/>
      <c r="AB6" s="7"/>
      <c r="AC6" s="7"/>
      <c r="AD6" s="7"/>
      <c r="AE6" s="7"/>
      <c r="AF6" s="7"/>
      <c r="AG6" s="11"/>
      <c r="AH6" s="21"/>
      <c r="AI6" s="22"/>
      <c r="AJ6" s="18"/>
      <c r="AK6" s="19"/>
      <c r="AL6" s="19"/>
    </row>
    <row r="7" spans="1:40" hidden="1" x14ac:dyDescent="0.2">
      <c r="A7" t="s">
        <v>52</v>
      </c>
      <c r="B7" s="3"/>
      <c r="C7" s="3"/>
      <c r="D7" s="3"/>
      <c r="E7" s="3"/>
      <c r="F7" s="3"/>
      <c r="G7" s="3"/>
      <c r="H7" s="4"/>
      <c r="I7" s="4"/>
      <c r="J7" s="4"/>
      <c r="K7" s="4"/>
      <c r="L7" s="4"/>
      <c r="M7" s="4"/>
      <c r="N7" s="4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7"/>
      <c r="AA7" s="7"/>
      <c r="AB7" s="7"/>
      <c r="AC7" s="7"/>
      <c r="AD7" s="7"/>
      <c r="AE7" s="7"/>
      <c r="AF7" s="7"/>
      <c r="AG7" s="11"/>
      <c r="AH7" s="21"/>
      <c r="AI7" s="22"/>
      <c r="AJ7" s="18"/>
      <c r="AK7" s="19"/>
      <c r="AL7" s="19"/>
    </row>
    <row r="8" spans="1:40" ht="96" x14ac:dyDescent="0.2">
      <c r="A8" t="s">
        <v>53</v>
      </c>
      <c r="B8" s="8" t="s">
        <v>36</v>
      </c>
      <c r="C8" s="8" t="s">
        <v>36</v>
      </c>
      <c r="D8" s="8" t="s">
        <v>54</v>
      </c>
      <c r="E8" s="8"/>
      <c r="F8" s="8" t="s">
        <v>36</v>
      </c>
      <c r="G8" s="8"/>
      <c r="H8" s="8" t="s">
        <v>55</v>
      </c>
      <c r="I8" s="8" t="s">
        <v>56</v>
      </c>
      <c r="J8" s="8" t="s">
        <v>57</v>
      </c>
      <c r="K8" s="8" t="s">
        <v>41</v>
      </c>
      <c r="L8" s="8" t="s">
        <v>58</v>
      </c>
      <c r="M8" s="8" t="s">
        <v>59</v>
      </c>
      <c r="N8" s="8"/>
      <c r="O8" s="8" t="s">
        <v>60</v>
      </c>
      <c r="P8" s="8" t="s">
        <v>61</v>
      </c>
      <c r="Q8" s="8" t="s">
        <v>62</v>
      </c>
      <c r="R8" s="8" t="s">
        <v>63</v>
      </c>
      <c r="S8" s="8" t="s">
        <v>64</v>
      </c>
      <c r="T8" s="8" t="s">
        <v>65</v>
      </c>
      <c r="U8" s="8" t="s">
        <v>66</v>
      </c>
      <c r="V8" s="8" t="s">
        <v>67</v>
      </c>
      <c r="W8" s="8" t="s">
        <v>68</v>
      </c>
      <c r="X8" s="8"/>
      <c r="Y8" s="8"/>
      <c r="Z8" s="8" t="s">
        <v>69</v>
      </c>
      <c r="AA8" s="8"/>
      <c r="AB8" s="8" t="s">
        <v>70</v>
      </c>
      <c r="AC8" s="8" t="s">
        <v>71</v>
      </c>
      <c r="AD8" s="32" t="s">
        <v>110</v>
      </c>
      <c r="AE8" s="8" t="s">
        <v>101</v>
      </c>
      <c r="AF8" s="8" t="s">
        <v>95</v>
      </c>
      <c r="AG8" s="8"/>
      <c r="AH8" s="10" t="s">
        <v>72</v>
      </c>
      <c r="AI8" s="10"/>
      <c r="AJ8" s="15" t="s">
        <v>73</v>
      </c>
      <c r="AK8" s="15" t="s">
        <v>74</v>
      </c>
      <c r="AL8" s="15" t="s">
        <v>75</v>
      </c>
    </row>
    <row r="9" spans="1:40" ht="32" x14ac:dyDescent="0.2">
      <c r="A9" t="s">
        <v>76</v>
      </c>
      <c r="B9" s="8"/>
      <c r="C9" s="8"/>
      <c r="D9" s="8"/>
      <c r="E9" s="8"/>
      <c r="F9" s="8"/>
      <c r="G9" s="8"/>
      <c r="H9" s="8"/>
      <c r="I9" s="8"/>
      <c r="J9" s="8"/>
      <c r="K9" s="8"/>
      <c r="L9" s="8" t="s">
        <v>77</v>
      </c>
      <c r="M9" s="8"/>
      <c r="N9" s="8"/>
      <c r="O9" s="8"/>
      <c r="P9" s="8"/>
      <c r="Q9" s="8"/>
      <c r="R9" s="50" t="s">
        <v>78</v>
      </c>
      <c r="S9" s="50"/>
      <c r="T9" s="51" t="s">
        <v>79</v>
      </c>
      <c r="U9" s="52"/>
      <c r="V9" s="51" t="s">
        <v>116</v>
      </c>
      <c r="W9" s="52"/>
      <c r="X9" s="30"/>
      <c r="Y9" s="30"/>
      <c r="Z9" s="8"/>
      <c r="AA9" s="8"/>
      <c r="AB9" s="25" t="s">
        <v>99</v>
      </c>
      <c r="AC9" s="8"/>
      <c r="AD9" s="8" t="s">
        <v>135</v>
      </c>
      <c r="AE9" s="8"/>
      <c r="AF9" s="8"/>
      <c r="AG9" s="8" t="s">
        <v>81</v>
      </c>
      <c r="AH9" s="10" t="s">
        <v>61</v>
      </c>
      <c r="AI9" s="10"/>
      <c r="AJ9" s="8"/>
      <c r="AK9" s="8"/>
      <c r="AL9" s="8" t="s">
        <v>81</v>
      </c>
    </row>
    <row r="10" spans="1:40" s="26" customFormat="1" x14ac:dyDescent="0.2">
      <c r="A10" t="s">
        <v>146</v>
      </c>
      <c r="B10" t="s">
        <v>83</v>
      </c>
      <c r="C10" t="s">
        <v>84</v>
      </c>
      <c r="D10" t="s">
        <v>85</v>
      </c>
      <c r="E10" t="s">
        <v>147</v>
      </c>
      <c r="F10" t="s">
        <v>84</v>
      </c>
      <c r="G10" t="s">
        <v>100</v>
      </c>
      <c r="H10" t="s">
        <v>149</v>
      </c>
      <c r="I10" t="s">
        <v>150</v>
      </c>
      <c r="J10" t="s">
        <v>89</v>
      </c>
      <c r="K10" s="27">
        <v>2018</v>
      </c>
      <c r="L10">
        <v>2018</v>
      </c>
      <c r="M10">
        <v>10</v>
      </c>
      <c r="N10">
        <v>90</v>
      </c>
      <c r="O10">
        <v>0</v>
      </c>
      <c r="P10" t="s">
        <v>61</v>
      </c>
      <c r="Q10" t="s">
        <v>90</v>
      </c>
      <c r="R10">
        <v>2064.56456456456</v>
      </c>
      <c r="S10" t="s">
        <v>61</v>
      </c>
      <c r="T10">
        <v>7.0382882882882898</v>
      </c>
      <c r="U10" t="s">
        <v>132</v>
      </c>
      <c r="V10">
        <v>0</v>
      </c>
      <c r="W10" t="s">
        <v>93</v>
      </c>
      <c r="X10"/>
      <c r="Y10"/>
      <c r="Z10" t="s">
        <v>152</v>
      </c>
      <c r="AA10">
        <v>2.6</v>
      </c>
      <c r="AB10">
        <v>1</v>
      </c>
      <c r="AC10" t="s">
        <v>134</v>
      </c>
      <c r="AD10" s="27">
        <v>0.13091699323335201</v>
      </c>
      <c r="AE10" t="s">
        <v>109</v>
      </c>
      <c r="AF10">
        <v>1</v>
      </c>
      <c r="AG10" t="s">
        <v>109</v>
      </c>
      <c r="AH10">
        <v>0</v>
      </c>
      <c r="AI10" t="s">
        <v>98</v>
      </c>
      <c r="AJ10"/>
      <c r="AK10"/>
      <c r="AL10"/>
      <c r="AM10"/>
      <c r="AN10"/>
    </row>
    <row r="11" spans="1:40" s="26" customFormat="1" x14ac:dyDescent="0.2">
      <c r="A11"/>
      <c r="B11"/>
      <c r="C11"/>
      <c r="D11"/>
      <c r="E11"/>
      <c r="F11"/>
      <c r="G11"/>
      <c r="H11"/>
      <c r="I11"/>
      <c r="J11"/>
      <c r="K11" s="27">
        <v>2020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 s="27">
        <v>1.07532792248349</v>
      </c>
      <c r="AE11"/>
      <c r="AF11"/>
      <c r="AG11"/>
      <c r="AH11"/>
      <c r="AI11"/>
      <c r="AJ11"/>
      <c r="AK11"/>
      <c r="AL11"/>
      <c r="AM11"/>
      <c r="AN11"/>
    </row>
    <row r="12" spans="1:40" s="26" customFormat="1" x14ac:dyDescent="0.2">
      <c r="A12"/>
      <c r="B12"/>
      <c r="C12"/>
      <c r="D12"/>
      <c r="E12"/>
      <c r="F12"/>
      <c r="G12"/>
      <c r="H12"/>
      <c r="I12"/>
      <c r="J12"/>
      <c r="K12" s="27">
        <v>2022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 s="27">
        <v>3.3424466467599001</v>
      </c>
      <c r="AE12"/>
      <c r="AF12"/>
      <c r="AG12"/>
      <c r="AH12"/>
      <c r="AI12"/>
      <c r="AJ12"/>
      <c r="AK12"/>
      <c r="AL12"/>
      <c r="AM12"/>
      <c r="AN12"/>
    </row>
    <row r="13" spans="1:40" s="26" customFormat="1" x14ac:dyDescent="0.2">
      <c r="A13"/>
      <c r="B13"/>
      <c r="C13"/>
      <c r="D13"/>
      <c r="E13"/>
      <c r="F13"/>
      <c r="G13"/>
      <c r="H13"/>
      <c r="I13"/>
      <c r="J13"/>
      <c r="K13" s="27">
        <v>2024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 s="27">
        <v>7.5987671064828204</v>
      </c>
      <c r="AE13"/>
      <c r="AF13"/>
      <c r="AG13"/>
      <c r="AH13"/>
      <c r="AI13"/>
      <c r="AJ13"/>
      <c r="AK13"/>
      <c r="AL13"/>
      <c r="AM13"/>
      <c r="AN13"/>
    </row>
    <row r="14" spans="1:40" s="26" customFormat="1" x14ac:dyDescent="0.2">
      <c r="A14"/>
      <c r="B14"/>
      <c r="C14"/>
      <c r="D14"/>
      <c r="E14"/>
      <c r="F14"/>
      <c r="G14"/>
      <c r="H14"/>
      <c r="I14"/>
      <c r="J14"/>
      <c r="K14" s="27">
        <v>2026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 s="27">
        <v>13.619051619932799</v>
      </c>
      <c r="AE14"/>
      <c r="AF14"/>
      <c r="AG14"/>
      <c r="AH14"/>
      <c r="AI14"/>
      <c r="AJ14"/>
      <c r="AK14"/>
      <c r="AL14"/>
      <c r="AM14"/>
      <c r="AN14"/>
    </row>
    <row r="15" spans="1:40" s="26" customFormat="1" x14ac:dyDescent="0.2">
      <c r="A15"/>
      <c r="B15"/>
      <c r="C15"/>
      <c r="D15"/>
      <c r="E15"/>
      <c r="F15"/>
      <c r="G15"/>
      <c r="H15"/>
      <c r="I15"/>
      <c r="J15"/>
      <c r="K15" s="27">
        <v>2028</v>
      </c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 s="27">
        <v>20.840357719790202</v>
      </c>
      <c r="AE15"/>
      <c r="AF15"/>
      <c r="AG15"/>
      <c r="AH15"/>
      <c r="AI15"/>
      <c r="AJ15"/>
      <c r="AK15"/>
      <c r="AL15"/>
      <c r="AM15"/>
      <c r="AN15"/>
    </row>
    <row r="16" spans="1:40" s="26" customFormat="1" x14ac:dyDescent="0.2">
      <c r="A16"/>
      <c r="B16"/>
      <c r="C16"/>
      <c r="D16"/>
      <c r="E16"/>
      <c r="F16"/>
      <c r="G16"/>
      <c r="H16"/>
      <c r="I16"/>
      <c r="J16"/>
      <c r="K16" s="27">
        <v>2030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 s="27">
        <v>28.513529907565299</v>
      </c>
      <c r="AE16"/>
      <c r="AF16"/>
      <c r="AG16"/>
      <c r="AH16"/>
      <c r="AI16"/>
      <c r="AJ16"/>
      <c r="AK16"/>
      <c r="AL16"/>
      <c r="AM16"/>
      <c r="AN16"/>
    </row>
    <row r="17" spans="1:40" s="26" customFormat="1" x14ac:dyDescent="0.2">
      <c r="A17"/>
      <c r="B17"/>
      <c r="C17"/>
      <c r="D17"/>
      <c r="E17"/>
      <c r="F17"/>
      <c r="G17"/>
      <c r="H17"/>
      <c r="I17"/>
      <c r="J17"/>
      <c r="K17" s="27">
        <v>2032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7">
        <v>35.104239363153702</v>
      </c>
      <c r="AE17"/>
      <c r="AF17"/>
      <c r="AG17"/>
      <c r="AH17"/>
      <c r="AI17"/>
      <c r="AJ17"/>
      <c r="AK17"/>
      <c r="AL17"/>
      <c r="AM17"/>
      <c r="AN17"/>
    </row>
    <row r="18" spans="1:40" s="26" customFormat="1" x14ac:dyDescent="0.2">
      <c r="A18"/>
      <c r="B18"/>
      <c r="C18"/>
      <c r="D18"/>
      <c r="E18"/>
      <c r="F18"/>
      <c r="G18"/>
      <c r="H18"/>
      <c r="I18"/>
      <c r="J18"/>
      <c r="K18" s="27">
        <v>2034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 s="27">
        <v>39.791668191989203</v>
      </c>
      <c r="AE18"/>
      <c r="AF18"/>
      <c r="AG18"/>
      <c r="AH18"/>
      <c r="AI18"/>
      <c r="AJ18"/>
      <c r="AK18"/>
      <c r="AL18"/>
      <c r="AM18"/>
      <c r="AN18"/>
    </row>
    <row r="19" spans="1:40" s="26" customFormat="1" x14ac:dyDescent="0.2">
      <c r="A19"/>
      <c r="B19"/>
      <c r="C19"/>
      <c r="D19"/>
      <c r="E19"/>
      <c r="F19"/>
      <c r="G19"/>
      <c r="H19"/>
      <c r="I19"/>
      <c r="J19"/>
      <c r="K19" s="27">
        <v>2036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 s="27">
        <v>42.967000460878097</v>
      </c>
      <c r="AE19"/>
      <c r="AF19"/>
      <c r="AG19"/>
      <c r="AH19"/>
      <c r="AI19"/>
      <c r="AJ19"/>
      <c r="AK19"/>
      <c r="AL19"/>
      <c r="AM19"/>
      <c r="AN19"/>
    </row>
    <row r="20" spans="1:40" s="26" customFormat="1" x14ac:dyDescent="0.2">
      <c r="A20"/>
      <c r="B20"/>
      <c r="C20"/>
      <c r="D20"/>
      <c r="E20"/>
      <c r="F20"/>
      <c r="G20"/>
      <c r="H20"/>
      <c r="I20"/>
      <c r="J20"/>
      <c r="K20" s="27">
        <v>2038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 s="27">
        <v>45.0792674990374</v>
      </c>
      <c r="AE20"/>
      <c r="AF20"/>
      <c r="AG20"/>
      <c r="AH20"/>
      <c r="AI20"/>
      <c r="AJ20"/>
      <c r="AK20"/>
      <c r="AL20"/>
      <c r="AM20"/>
      <c r="AN20"/>
    </row>
    <row r="21" spans="1:40" s="26" customFormat="1" x14ac:dyDescent="0.2">
      <c r="A21"/>
      <c r="B21"/>
      <c r="C21"/>
      <c r="D21"/>
      <c r="E21"/>
      <c r="F21"/>
      <c r="G21"/>
      <c r="H21"/>
      <c r="I21"/>
      <c r="J21"/>
      <c r="K21" s="27">
        <v>2040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 s="27">
        <v>46.645522476905697</v>
      </c>
      <c r="AE21"/>
      <c r="AF21"/>
      <c r="AG21"/>
      <c r="AH21"/>
      <c r="AI21"/>
      <c r="AJ21"/>
      <c r="AK21"/>
      <c r="AL21"/>
      <c r="AM21"/>
      <c r="AN21"/>
    </row>
    <row r="22" spans="1:40" x14ac:dyDescent="0.2">
      <c r="K22" s="27">
        <v>2042</v>
      </c>
      <c r="AD22" s="27">
        <v>48.143113455648603</v>
      </c>
    </row>
    <row r="23" spans="1:40" x14ac:dyDescent="0.2">
      <c r="K23" s="27">
        <v>2044</v>
      </c>
      <c r="AD23" s="27">
        <v>49.640704434391402</v>
      </c>
    </row>
    <row r="24" spans="1:40" x14ac:dyDescent="0.2">
      <c r="K24" s="27">
        <v>2046</v>
      </c>
      <c r="AD24" s="27">
        <v>51.138295413134301</v>
      </c>
    </row>
    <row r="25" spans="1:40" x14ac:dyDescent="0.2">
      <c r="K25" s="27">
        <v>2048</v>
      </c>
      <c r="AD25" s="27">
        <v>52.635886391877101</v>
      </c>
    </row>
    <row r="26" spans="1:40" x14ac:dyDescent="0.2">
      <c r="K26" s="27">
        <v>2050</v>
      </c>
      <c r="AD26" s="27">
        <v>54.1334773706199</v>
      </c>
    </row>
    <row r="27" spans="1:40" x14ac:dyDescent="0.2">
      <c r="K27" s="27">
        <v>2052</v>
      </c>
      <c r="AD27" s="27">
        <v>55.334993037588198</v>
      </c>
    </row>
    <row r="28" spans="1:40" x14ac:dyDescent="0.2">
      <c r="K28" s="27">
        <v>2054</v>
      </c>
      <c r="AD28" s="27">
        <v>56.756600429840397</v>
      </c>
    </row>
    <row r="29" spans="1:40" x14ac:dyDescent="0.2">
      <c r="K29" s="27">
        <v>2056</v>
      </c>
      <c r="AD29" s="27">
        <v>58.178207822092702</v>
      </c>
    </row>
    <row r="30" spans="1:40" x14ac:dyDescent="0.2">
      <c r="K30" s="27">
        <v>2058</v>
      </c>
      <c r="AD30" s="27">
        <v>59.5998152143449</v>
      </c>
    </row>
    <row r="31" spans="1:40" x14ac:dyDescent="0.2">
      <c r="K31" s="27">
        <v>2060</v>
      </c>
      <c r="AD31" s="27">
        <v>61.021422606597199</v>
      </c>
    </row>
    <row r="32" spans="1:40" x14ac:dyDescent="0.2">
      <c r="K32" s="27">
        <v>2062</v>
      </c>
      <c r="AD32" s="27">
        <v>61.021422606597199</v>
      </c>
    </row>
    <row r="33" spans="11:30" x14ac:dyDescent="0.2">
      <c r="K33" s="27">
        <v>2064</v>
      </c>
      <c r="AD33" s="27">
        <v>61.021422606597199</v>
      </c>
    </row>
    <row r="34" spans="11:30" x14ac:dyDescent="0.2">
      <c r="K34" s="27">
        <v>2066</v>
      </c>
      <c r="AD34" s="27">
        <v>61.021422606597199</v>
      </c>
    </row>
    <row r="35" spans="11:30" x14ac:dyDescent="0.2">
      <c r="K35" s="27">
        <v>2068</v>
      </c>
      <c r="AD35" s="27">
        <v>61.021422606597199</v>
      </c>
    </row>
    <row r="36" spans="11:30" x14ac:dyDescent="0.2">
      <c r="K36" s="27">
        <v>2070</v>
      </c>
      <c r="AD36" s="27">
        <v>61.021422606597199</v>
      </c>
    </row>
  </sheetData>
  <mergeCells count="14">
    <mergeCell ref="B1:F1"/>
    <mergeCell ref="H1:M1"/>
    <mergeCell ref="O1:W1"/>
    <mergeCell ref="O4:P4"/>
    <mergeCell ref="R4:U4"/>
    <mergeCell ref="V4:W4"/>
    <mergeCell ref="Z1:AG1"/>
    <mergeCell ref="AH1:AI1"/>
    <mergeCell ref="AJ1:AL2"/>
    <mergeCell ref="R9:S9"/>
    <mergeCell ref="T9:U9"/>
    <mergeCell ref="V9:W9"/>
    <mergeCell ref="Z4:AG4"/>
    <mergeCell ref="AH4:AI4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1A99C-2AAC-4B58-B017-4DDF45749DA4}">
  <dimension ref="A1:AN36"/>
  <sheetViews>
    <sheetView topLeftCell="D1" zoomScale="80" zoomScaleNormal="80" workbookViewId="0">
      <selection activeCell="F16" sqref="F16"/>
    </sheetView>
  </sheetViews>
  <sheetFormatPr baseColWidth="10" defaultColWidth="8.83203125" defaultRowHeight="15" x14ac:dyDescent="0.2"/>
  <cols>
    <col min="2" max="2" width="11" customWidth="1"/>
    <col min="3" max="3" width="11.5" customWidth="1"/>
    <col min="4" max="4" width="16.33203125" customWidth="1"/>
    <col min="5" max="5" width="31.33203125" customWidth="1"/>
    <col min="6" max="6" width="12.5" customWidth="1"/>
    <col min="7" max="7" width="17.83203125" customWidth="1"/>
    <col min="8" max="8" width="20" customWidth="1"/>
    <col min="9" max="9" width="44.33203125" customWidth="1"/>
    <col min="10" max="10" width="6.6640625" customWidth="1"/>
    <col min="11" max="11" width="10.83203125" customWidth="1"/>
    <col min="12" max="12" width="15.33203125" customWidth="1"/>
    <col min="13" max="14" width="12.33203125" customWidth="1"/>
    <col min="15" max="15" width="18.5" bestFit="1" customWidth="1"/>
    <col min="17" max="17" width="21.5" bestFit="1" customWidth="1"/>
    <col min="18" max="18" width="29.83203125" bestFit="1" customWidth="1"/>
    <col min="19" max="19" width="22.83203125" bestFit="1" customWidth="1"/>
    <col min="20" max="20" width="22.5" bestFit="1" customWidth="1"/>
    <col min="21" max="21" width="17" customWidth="1"/>
    <col min="22" max="22" width="16.33203125" customWidth="1"/>
    <col min="23" max="23" width="25.33203125" bestFit="1" customWidth="1"/>
    <col min="24" max="25" width="25.33203125" customWidth="1"/>
    <col min="26" max="27" width="12.33203125" customWidth="1"/>
    <col min="28" max="28" width="15.6640625" bestFit="1" customWidth="1"/>
    <col min="29" max="29" width="27.1640625" bestFit="1" customWidth="1"/>
    <col min="30" max="30" width="18.1640625" customWidth="1"/>
    <col min="31" max="31" width="27.1640625" customWidth="1"/>
    <col min="32" max="32" width="21.5" bestFit="1" customWidth="1"/>
    <col min="33" max="33" width="8.1640625" bestFit="1" customWidth="1"/>
    <col min="34" max="34" width="11.5" bestFit="1" customWidth="1"/>
    <col min="35" max="35" width="16.1640625" customWidth="1"/>
    <col min="36" max="36" width="18.5" customWidth="1"/>
    <col min="37" max="37" width="18.1640625" customWidth="1"/>
    <col min="38" max="38" width="20.83203125" bestFit="1" customWidth="1"/>
    <col min="39" max="39" width="33.5" bestFit="1" customWidth="1"/>
  </cols>
  <sheetData>
    <row r="1" spans="1:40" x14ac:dyDescent="0.2">
      <c r="B1" s="35" t="s">
        <v>0</v>
      </c>
      <c r="C1" s="35"/>
      <c r="D1" s="35"/>
      <c r="E1" s="35"/>
      <c r="F1" s="35"/>
      <c r="G1" s="2"/>
      <c r="H1" s="36" t="s">
        <v>1</v>
      </c>
      <c r="I1" s="36"/>
      <c r="J1" s="36"/>
      <c r="K1" s="36"/>
      <c r="L1" s="36"/>
      <c r="M1" s="36"/>
      <c r="N1" s="31"/>
      <c r="O1" s="38" t="s">
        <v>2</v>
      </c>
      <c r="P1" s="38"/>
      <c r="Q1" s="38"/>
      <c r="R1" s="38"/>
      <c r="S1" s="38"/>
      <c r="T1" s="38"/>
      <c r="U1" s="38"/>
      <c r="V1" s="38"/>
      <c r="W1" s="38"/>
      <c r="X1" s="29"/>
      <c r="Y1" s="29"/>
      <c r="Z1" s="36" t="s">
        <v>3</v>
      </c>
      <c r="AA1" s="36"/>
      <c r="AB1" s="36"/>
      <c r="AC1" s="36"/>
      <c r="AD1" s="36"/>
      <c r="AE1" s="36"/>
      <c r="AF1" s="36"/>
      <c r="AG1" s="37"/>
      <c r="AH1" s="42" t="s">
        <v>4</v>
      </c>
      <c r="AI1" s="43"/>
      <c r="AJ1" s="46" t="s">
        <v>5</v>
      </c>
      <c r="AK1" s="47"/>
      <c r="AL1" s="47"/>
      <c r="AM1" s="9"/>
    </row>
    <row r="2" spans="1:40" ht="32" x14ac:dyDescent="0.2">
      <c r="A2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4" t="s">
        <v>13</v>
      </c>
      <c r="I2" s="4" t="s">
        <v>14</v>
      </c>
      <c r="J2" s="4" t="s">
        <v>15</v>
      </c>
      <c r="K2" s="4" t="s">
        <v>16</v>
      </c>
      <c r="L2" s="4" t="s">
        <v>17</v>
      </c>
      <c r="M2" s="4" t="s">
        <v>18</v>
      </c>
      <c r="N2" s="34" t="s">
        <v>151</v>
      </c>
      <c r="O2" s="5" t="s">
        <v>19</v>
      </c>
      <c r="P2" s="5" t="s">
        <v>20</v>
      </c>
      <c r="Q2" s="5" t="s">
        <v>21</v>
      </c>
      <c r="R2" s="5" t="s">
        <v>22</v>
      </c>
      <c r="S2" s="5" t="s">
        <v>23</v>
      </c>
      <c r="T2" s="5" t="s">
        <v>24</v>
      </c>
      <c r="U2" s="5" t="s">
        <v>25</v>
      </c>
      <c r="V2" s="5" t="s">
        <v>26</v>
      </c>
      <c r="W2" s="5" t="s">
        <v>27</v>
      </c>
      <c r="X2" s="34" t="s">
        <v>125</v>
      </c>
      <c r="Y2" s="34" t="s">
        <v>126</v>
      </c>
      <c r="Z2" s="4" t="s">
        <v>28</v>
      </c>
      <c r="AA2" s="33" t="s">
        <v>124</v>
      </c>
      <c r="AB2" s="4" t="s">
        <v>29</v>
      </c>
      <c r="AC2" s="13" t="s">
        <v>30</v>
      </c>
      <c r="AD2" s="13"/>
      <c r="AE2" s="13"/>
      <c r="AF2" s="4" t="s">
        <v>96</v>
      </c>
      <c r="AG2" s="16" t="s">
        <v>31</v>
      </c>
      <c r="AH2" s="14" t="s">
        <v>32</v>
      </c>
      <c r="AI2" s="12" t="s">
        <v>33</v>
      </c>
      <c r="AJ2" s="48"/>
      <c r="AK2" s="49"/>
      <c r="AL2" s="49"/>
    </row>
    <row r="3" spans="1:40" x14ac:dyDescent="0.2">
      <c r="A3" t="s">
        <v>34</v>
      </c>
      <c r="B3" s="3"/>
      <c r="C3" s="3"/>
      <c r="D3" s="3"/>
      <c r="E3" s="3"/>
      <c r="F3" s="3"/>
      <c r="G3" s="3"/>
      <c r="H3" s="4"/>
      <c r="I3" s="4"/>
      <c r="J3" s="4"/>
      <c r="K3" s="4"/>
      <c r="L3" s="4"/>
      <c r="M3" s="4"/>
      <c r="N3" s="4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4"/>
      <c r="AA3" s="4"/>
      <c r="AB3" s="4"/>
      <c r="AC3" s="13"/>
      <c r="AD3" s="13"/>
      <c r="AE3" s="13"/>
      <c r="AF3" s="4"/>
      <c r="AG3" s="23"/>
      <c r="AH3" s="14"/>
      <c r="AI3" s="24" t="s">
        <v>102</v>
      </c>
      <c r="AJ3" s="17"/>
      <c r="AK3" s="20"/>
      <c r="AL3" s="20"/>
    </row>
    <row r="4" spans="1:40" hidden="1" x14ac:dyDescent="0.2">
      <c r="A4" t="s">
        <v>35</v>
      </c>
      <c r="B4" s="3" t="s">
        <v>36</v>
      </c>
      <c r="C4" s="3" t="s">
        <v>36</v>
      </c>
      <c r="D4" s="3" t="s">
        <v>37</v>
      </c>
      <c r="E4" s="3" t="s">
        <v>36</v>
      </c>
      <c r="F4" s="3" t="s">
        <v>36</v>
      </c>
      <c r="G4" s="3"/>
      <c r="H4" s="4" t="s">
        <v>38</v>
      </c>
      <c r="I4" s="4" t="s">
        <v>39</v>
      </c>
      <c r="J4" s="4" t="s">
        <v>40</v>
      </c>
      <c r="K4" s="4" t="s">
        <v>41</v>
      </c>
      <c r="L4" s="4" t="s">
        <v>17</v>
      </c>
      <c r="M4" s="4" t="s">
        <v>42</v>
      </c>
      <c r="N4" s="4"/>
      <c r="O4" s="39" t="s">
        <v>43</v>
      </c>
      <c r="P4" s="39"/>
      <c r="Q4" s="6"/>
      <c r="R4" s="39" t="s">
        <v>44</v>
      </c>
      <c r="S4" s="39"/>
      <c r="T4" s="39"/>
      <c r="U4" s="39"/>
      <c r="V4" s="39" t="s">
        <v>45</v>
      </c>
      <c r="W4" s="39"/>
      <c r="X4" s="6"/>
      <c r="Y4" s="6"/>
      <c r="Z4" s="40" t="s">
        <v>46</v>
      </c>
      <c r="AA4" s="40"/>
      <c r="AB4" s="40"/>
      <c r="AC4" s="40"/>
      <c r="AD4" s="40"/>
      <c r="AE4" s="40"/>
      <c r="AF4" s="40"/>
      <c r="AG4" s="41"/>
      <c r="AH4" s="44" t="s">
        <v>47</v>
      </c>
      <c r="AI4" s="45"/>
      <c r="AJ4" s="18" t="s">
        <v>48</v>
      </c>
      <c r="AK4" s="19" t="s">
        <v>49</v>
      </c>
      <c r="AL4" s="19" t="s">
        <v>32</v>
      </c>
    </row>
    <row r="5" spans="1:40" hidden="1" x14ac:dyDescent="0.2">
      <c r="A5" t="s">
        <v>50</v>
      </c>
      <c r="B5" s="3"/>
      <c r="C5" s="3"/>
      <c r="D5" s="3"/>
      <c r="E5" s="3"/>
      <c r="F5" s="3"/>
      <c r="G5" s="3"/>
      <c r="H5" s="4"/>
      <c r="I5" s="4"/>
      <c r="J5" s="4"/>
      <c r="K5" s="4"/>
      <c r="L5" s="4"/>
      <c r="M5" s="4"/>
      <c r="N5" s="4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7"/>
      <c r="AA5" s="7"/>
      <c r="AB5" s="7"/>
      <c r="AC5" s="7"/>
      <c r="AD5" s="7"/>
      <c r="AE5" s="7"/>
      <c r="AF5" s="7"/>
      <c r="AG5" s="11"/>
      <c r="AH5" s="21"/>
      <c r="AI5" s="22"/>
      <c r="AJ5" s="18"/>
      <c r="AK5" s="19"/>
      <c r="AL5" s="19"/>
    </row>
    <row r="6" spans="1:40" hidden="1" x14ac:dyDescent="0.2">
      <c r="A6" t="s">
        <v>51</v>
      </c>
      <c r="B6" s="3"/>
      <c r="C6" s="3"/>
      <c r="D6" s="3"/>
      <c r="E6" s="3"/>
      <c r="F6" s="3"/>
      <c r="G6" s="3"/>
      <c r="H6" s="4"/>
      <c r="I6" s="4"/>
      <c r="J6" s="4"/>
      <c r="K6" s="4"/>
      <c r="L6" s="4"/>
      <c r="M6" s="4"/>
      <c r="N6" s="4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7"/>
      <c r="AA6" s="7"/>
      <c r="AB6" s="7"/>
      <c r="AC6" s="7"/>
      <c r="AD6" s="7"/>
      <c r="AE6" s="7"/>
      <c r="AF6" s="7"/>
      <c r="AG6" s="11"/>
      <c r="AH6" s="21"/>
      <c r="AI6" s="22"/>
      <c r="AJ6" s="18"/>
      <c r="AK6" s="19"/>
      <c r="AL6" s="19"/>
    </row>
    <row r="7" spans="1:40" hidden="1" x14ac:dyDescent="0.2">
      <c r="A7" t="s">
        <v>52</v>
      </c>
      <c r="B7" s="3"/>
      <c r="C7" s="3"/>
      <c r="D7" s="3"/>
      <c r="E7" s="3"/>
      <c r="F7" s="3"/>
      <c r="G7" s="3"/>
      <c r="H7" s="4"/>
      <c r="I7" s="4"/>
      <c r="J7" s="4"/>
      <c r="K7" s="4"/>
      <c r="L7" s="4"/>
      <c r="M7" s="4"/>
      <c r="N7" s="4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7"/>
      <c r="AA7" s="7"/>
      <c r="AB7" s="7"/>
      <c r="AC7" s="7"/>
      <c r="AD7" s="7"/>
      <c r="AE7" s="7"/>
      <c r="AF7" s="7"/>
      <c r="AG7" s="11"/>
      <c r="AH7" s="21"/>
      <c r="AI7" s="22"/>
      <c r="AJ7" s="18"/>
      <c r="AK7" s="19"/>
      <c r="AL7" s="19"/>
    </row>
    <row r="8" spans="1:40" ht="96" x14ac:dyDescent="0.2">
      <c r="A8" t="s">
        <v>53</v>
      </c>
      <c r="B8" s="8" t="s">
        <v>36</v>
      </c>
      <c r="C8" s="8" t="s">
        <v>36</v>
      </c>
      <c r="D8" s="8" t="s">
        <v>54</v>
      </c>
      <c r="E8" s="8"/>
      <c r="F8" s="8" t="s">
        <v>36</v>
      </c>
      <c r="G8" s="8"/>
      <c r="H8" s="8" t="s">
        <v>55</v>
      </c>
      <c r="I8" s="8" t="s">
        <v>56</v>
      </c>
      <c r="J8" s="8" t="s">
        <v>57</v>
      </c>
      <c r="K8" s="8" t="s">
        <v>41</v>
      </c>
      <c r="L8" s="8" t="s">
        <v>58</v>
      </c>
      <c r="M8" s="8" t="s">
        <v>59</v>
      </c>
      <c r="N8" s="8"/>
      <c r="O8" s="8" t="s">
        <v>60</v>
      </c>
      <c r="P8" s="8" t="s">
        <v>61</v>
      </c>
      <c r="Q8" s="8" t="s">
        <v>62</v>
      </c>
      <c r="R8" s="8" t="s">
        <v>63</v>
      </c>
      <c r="S8" s="8" t="s">
        <v>64</v>
      </c>
      <c r="T8" s="8" t="s">
        <v>65</v>
      </c>
      <c r="U8" s="8" t="s">
        <v>66</v>
      </c>
      <c r="V8" s="8" t="s">
        <v>67</v>
      </c>
      <c r="W8" s="8" t="s">
        <v>68</v>
      </c>
      <c r="X8" s="8"/>
      <c r="Y8" s="8"/>
      <c r="Z8" s="8" t="s">
        <v>69</v>
      </c>
      <c r="AA8" s="8"/>
      <c r="AB8" s="8" t="s">
        <v>70</v>
      </c>
      <c r="AC8" s="8" t="s">
        <v>71</v>
      </c>
      <c r="AD8" s="32" t="s">
        <v>110</v>
      </c>
      <c r="AE8" s="8" t="s">
        <v>101</v>
      </c>
      <c r="AF8" s="8" t="s">
        <v>95</v>
      </c>
      <c r="AG8" s="8"/>
      <c r="AH8" s="10" t="s">
        <v>72</v>
      </c>
      <c r="AI8" s="10"/>
      <c r="AJ8" s="15" t="s">
        <v>73</v>
      </c>
      <c r="AK8" s="15" t="s">
        <v>74</v>
      </c>
      <c r="AL8" s="15" t="s">
        <v>75</v>
      </c>
    </row>
    <row r="9" spans="1:40" ht="32" x14ac:dyDescent="0.2">
      <c r="A9" t="s">
        <v>76</v>
      </c>
      <c r="B9" s="8"/>
      <c r="C9" s="8"/>
      <c r="D9" s="8"/>
      <c r="E9" s="8"/>
      <c r="F9" s="8"/>
      <c r="G9" s="8"/>
      <c r="H9" s="8"/>
      <c r="I9" s="8"/>
      <c r="J9" s="8"/>
      <c r="K9" s="8"/>
      <c r="L9" s="8" t="s">
        <v>77</v>
      </c>
      <c r="M9" s="8"/>
      <c r="N9" s="8"/>
      <c r="O9" s="8"/>
      <c r="P9" s="8"/>
      <c r="Q9" s="8"/>
      <c r="R9" s="50" t="s">
        <v>78</v>
      </c>
      <c r="S9" s="50"/>
      <c r="T9" s="51" t="s">
        <v>79</v>
      </c>
      <c r="U9" s="52"/>
      <c r="V9" s="51" t="s">
        <v>116</v>
      </c>
      <c r="W9" s="52"/>
      <c r="X9" s="30"/>
      <c r="Y9" s="30"/>
      <c r="Z9" s="8"/>
      <c r="AA9" s="8"/>
      <c r="AB9" s="25" t="s">
        <v>99</v>
      </c>
      <c r="AC9" s="8"/>
      <c r="AD9" s="8" t="s">
        <v>135</v>
      </c>
      <c r="AE9" s="8"/>
      <c r="AF9" s="8"/>
      <c r="AG9" s="8" t="s">
        <v>81</v>
      </c>
      <c r="AH9" s="10" t="s">
        <v>61</v>
      </c>
      <c r="AI9" s="10"/>
      <c r="AJ9" s="8"/>
      <c r="AK9" s="8"/>
      <c r="AL9" s="8" t="s">
        <v>81</v>
      </c>
    </row>
    <row r="10" spans="1:40" s="26" customFormat="1" x14ac:dyDescent="0.2">
      <c r="A10" t="s">
        <v>141</v>
      </c>
      <c r="B10" t="s">
        <v>83</v>
      </c>
      <c r="C10" t="s">
        <v>84</v>
      </c>
      <c r="D10" t="s">
        <v>85</v>
      </c>
      <c r="E10" t="s">
        <v>158</v>
      </c>
      <c r="F10" t="s">
        <v>84</v>
      </c>
      <c r="G10" t="s">
        <v>100</v>
      </c>
      <c r="H10" t="s">
        <v>153</v>
      </c>
      <c r="I10" t="s">
        <v>154</v>
      </c>
      <c r="J10" t="s">
        <v>89</v>
      </c>
      <c r="K10" s="27">
        <v>2018</v>
      </c>
      <c r="L10">
        <v>2018</v>
      </c>
      <c r="M10">
        <v>15</v>
      </c>
      <c r="N10"/>
      <c r="O10">
        <v>0</v>
      </c>
      <c r="P10" t="s">
        <v>61</v>
      </c>
      <c r="Q10" t="s">
        <v>90</v>
      </c>
      <c r="R10">
        <v>137.96007013983501</v>
      </c>
      <c r="S10" t="s">
        <v>61</v>
      </c>
      <c r="T10">
        <v>6.20434902578618</v>
      </c>
      <c r="U10" t="s">
        <v>132</v>
      </c>
      <c r="V10">
        <v>0</v>
      </c>
      <c r="W10" t="s">
        <v>93</v>
      </c>
      <c r="X10"/>
      <c r="Y10"/>
      <c r="Z10" t="s">
        <v>145</v>
      </c>
      <c r="AA10">
        <v>1</v>
      </c>
      <c r="AB10">
        <v>1</v>
      </c>
      <c r="AC10" t="s">
        <v>134</v>
      </c>
      <c r="AD10" s="27">
        <v>0</v>
      </c>
      <c r="AE10" t="s">
        <v>109</v>
      </c>
      <c r="AF10">
        <v>1</v>
      </c>
      <c r="AG10" t="s">
        <v>109</v>
      </c>
      <c r="AH10">
        <v>20.816282484718599</v>
      </c>
      <c r="AI10" t="s">
        <v>98</v>
      </c>
      <c r="AJ10"/>
      <c r="AK10"/>
      <c r="AL10"/>
      <c r="AM10"/>
      <c r="AN10"/>
    </row>
    <row r="11" spans="1:40" s="26" customFormat="1" x14ac:dyDescent="0.2">
      <c r="A11"/>
      <c r="B11"/>
      <c r="C11"/>
      <c r="D11"/>
      <c r="E11"/>
      <c r="F11"/>
      <c r="G11"/>
      <c r="H11"/>
      <c r="I11"/>
      <c r="J11"/>
      <c r="K11" s="27">
        <v>2020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 s="27">
        <v>2.3803481245403302</v>
      </c>
      <c r="AE11"/>
      <c r="AF11"/>
      <c r="AG11"/>
      <c r="AH11"/>
      <c r="AI11"/>
      <c r="AJ11"/>
      <c r="AK11"/>
      <c r="AL11"/>
      <c r="AM11"/>
      <c r="AN11"/>
    </row>
    <row r="12" spans="1:40" s="26" customFormat="1" x14ac:dyDescent="0.2">
      <c r="A12"/>
      <c r="B12"/>
      <c r="C12"/>
      <c r="D12"/>
      <c r="E12"/>
      <c r="F12"/>
      <c r="G12"/>
      <c r="H12"/>
      <c r="I12"/>
      <c r="J12"/>
      <c r="K12" s="27">
        <v>2022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 s="27">
        <v>18.5679954976323</v>
      </c>
      <c r="AE12"/>
      <c r="AF12"/>
      <c r="AG12"/>
      <c r="AH12"/>
      <c r="AI12"/>
      <c r="AJ12"/>
      <c r="AK12"/>
      <c r="AL12"/>
      <c r="AM12"/>
      <c r="AN12"/>
    </row>
    <row r="13" spans="1:40" s="26" customFormat="1" x14ac:dyDescent="0.2">
      <c r="A13"/>
      <c r="B13"/>
      <c r="C13"/>
      <c r="D13"/>
      <c r="E13"/>
      <c r="F13"/>
      <c r="G13"/>
      <c r="H13"/>
      <c r="I13"/>
      <c r="J13"/>
      <c r="K13" s="27">
        <v>2024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 s="27">
        <v>90.216083491668599</v>
      </c>
      <c r="AE13"/>
      <c r="AF13"/>
      <c r="AG13"/>
      <c r="AH13"/>
      <c r="AI13"/>
      <c r="AJ13"/>
      <c r="AK13"/>
      <c r="AL13"/>
      <c r="AM13"/>
      <c r="AN13"/>
    </row>
    <row r="14" spans="1:40" s="26" customFormat="1" x14ac:dyDescent="0.2">
      <c r="A14"/>
      <c r="B14"/>
      <c r="C14"/>
      <c r="D14"/>
      <c r="E14"/>
      <c r="F14"/>
      <c r="G14"/>
      <c r="H14"/>
      <c r="I14"/>
      <c r="J14"/>
      <c r="K14" s="27">
        <v>2026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 s="27"/>
      <c r="AE14"/>
      <c r="AF14"/>
      <c r="AG14"/>
      <c r="AH14"/>
      <c r="AI14"/>
      <c r="AJ14"/>
      <c r="AK14"/>
      <c r="AL14"/>
      <c r="AM14"/>
      <c r="AN14"/>
    </row>
    <row r="15" spans="1:40" s="26" customFormat="1" x14ac:dyDescent="0.2">
      <c r="A15"/>
      <c r="B15"/>
      <c r="C15"/>
      <c r="D15"/>
      <c r="E15"/>
      <c r="F15"/>
      <c r="G15"/>
      <c r="H15"/>
      <c r="I15"/>
      <c r="J15"/>
      <c r="K15" s="27">
        <v>2028</v>
      </c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 s="27"/>
      <c r="AE15"/>
      <c r="AF15"/>
      <c r="AG15"/>
      <c r="AH15"/>
      <c r="AI15"/>
      <c r="AJ15"/>
      <c r="AK15"/>
      <c r="AL15"/>
      <c r="AM15"/>
      <c r="AN15"/>
    </row>
    <row r="16" spans="1:40" s="26" customFormat="1" x14ac:dyDescent="0.2">
      <c r="A16"/>
      <c r="B16"/>
      <c r="C16"/>
      <c r="D16"/>
      <c r="E16"/>
      <c r="F16"/>
      <c r="G16"/>
      <c r="H16"/>
      <c r="I16"/>
      <c r="J16"/>
      <c r="K16" s="27">
        <v>2030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 s="27"/>
      <c r="AE16"/>
      <c r="AF16"/>
      <c r="AG16"/>
      <c r="AH16"/>
      <c r="AI16"/>
      <c r="AJ16"/>
      <c r="AK16"/>
      <c r="AL16"/>
      <c r="AM16"/>
      <c r="AN16"/>
    </row>
    <row r="17" spans="1:40" s="26" customFormat="1" x14ac:dyDescent="0.2">
      <c r="A17"/>
      <c r="B17"/>
      <c r="C17"/>
      <c r="D17"/>
      <c r="E17"/>
      <c r="F17"/>
      <c r="G17"/>
      <c r="H17"/>
      <c r="I17"/>
      <c r="J17"/>
      <c r="K17" s="27">
        <v>2032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7"/>
      <c r="AE17"/>
      <c r="AF17"/>
      <c r="AG17"/>
      <c r="AH17"/>
      <c r="AI17"/>
      <c r="AJ17"/>
      <c r="AK17"/>
      <c r="AL17"/>
      <c r="AM17"/>
      <c r="AN17"/>
    </row>
    <row r="18" spans="1:40" s="26" customFormat="1" x14ac:dyDescent="0.2">
      <c r="A18"/>
      <c r="B18"/>
      <c r="C18"/>
      <c r="D18"/>
      <c r="E18"/>
      <c r="F18"/>
      <c r="G18"/>
      <c r="H18"/>
      <c r="I18"/>
      <c r="J18"/>
      <c r="K18" s="27">
        <v>2034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 s="27"/>
      <c r="AE18"/>
      <c r="AF18"/>
      <c r="AG18"/>
      <c r="AH18"/>
      <c r="AI18"/>
      <c r="AJ18"/>
      <c r="AK18"/>
      <c r="AL18"/>
      <c r="AM18"/>
      <c r="AN18"/>
    </row>
    <row r="19" spans="1:40" s="26" customFormat="1" x14ac:dyDescent="0.2">
      <c r="A19"/>
      <c r="B19"/>
      <c r="C19"/>
      <c r="D19"/>
      <c r="E19"/>
      <c r="F19"/>
      <c r="G19"/>
      <c r="H19"/>
      <c r="I19"/>
      <c r="J19"/>
      <c r="K19" s="27">
        <v>2036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 s="27"/>
      <c r="AE19"/>
      <c r="AF19"/>
      <c r="AG19"/>
      <c r="AH19"/>
      <c r="AI19"/>
      <c r="AJ19"/>
      <c r="AK19"/>
      <c r="AL19"/>
      <c r="AM19"/>
      <c r="AN19"/>
    </row>
    <row r="20" spans="1:40" s="26" customFormat="1" x14ac:dyDescent="0.2">
      <c r="A20"/>
      <c r="B20"/>
      <c r="C20"/>
      <c r="D20"/>
      <c r="E20"/>
      <c r="F20"/>
      <c r="G20"/>
      <c r="H20"/>
      <c r="I20"/>
      <c r="J20"/>
      <c r="K20" s="27">
        <v>2038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 s="27"/>
      <c r="AE20"/>
      <c r="AF20"/>
      <c r="AG20"/>
      <c r="AH20"/>
      <c r="AI20"/>
      <c r="AJ20"/>
      <c r="AK20"/>
      <c r="AL20"/>
      <c r="AM20"/>
      <c r="AN20"/>
    </row>
    <row r="21" spans="1:40" s="26" customFormat="1" x14ac:dyDescent="0.2">
      <c r="A21"/>
      <c r="B21"/>
      <c r="C21"/>
      <c r="D21"/>
      <c r="E21"/>
      <c r="F21"/>
      <c r="G21"/>
      <c r="H21"/>
      <c r="I21"/>
      <c r="J21"/>
      <c r="K21" s="27">
        <v>2040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 s="27"/>
      <c r="AE21"/>
      <c r="AF21"/>
      <c r="AG21"/>
      <c r="AH21"/>
      <c r="AI21"/>
      <c r="AJ21"/>
      <c r="AK21"/>
      <c r="AL21"/>
      <c r="AM21"/>
      <c r="AN21"/>
    </row>
    <row r="22" spans="1:40" x14ac:dyDescent="0.2">
      <c r="K22" s="27">
        <v>2042</v>
      </c>
      <c r="AD22" s="27"/>
    </row>
    <row r="23" spans="1:40" x14ac:dyDescent="0.2">
      <c r="K23" s="27">
        <v>2044</v>
      </c>
      <c r="AD23" s="27"/>
    </row>
    <row r="24" spans="1:40" x14ac:dyDescent="0.2">
      <c r="K24" s="27">
        <v>2046</v>
      </c>
      <c r="AD24" s="27"/>
    </row>
    <row r="25" spans="1:40" x14ac:dyDescent="0.2">
      <c r="K25" s="27">
        <v>2048</v>
      </c>
      <c r="AD25" s="27"/>
    </row>
    <row r="26" spans="1:40" x14ac:dyDescent="0.2">
      <c r="K26" s="27">
        <v>2050</v>
      </c>
      <c r="AD26" s="27"/>
    </row>
    <row r="27" spans="1:40" x14ac:dyDescent="0.2">
      <c r="K27" s="27">
        <v>2052</v>
      </c>
      <c r="AD27" s="27"/>
    </row>
    <row r="28" spans="1:40" x14ac:dyDescent="0.2">
      <c r="K28" s="27">
        <v>2054</v>
      </c>
      <c r="AD28" s="27"/>
    </row>
    <row r="29" spans="1:40" x14ac:dyDescent="0.2">
      <c r="K29" s="27">
        <v>2056</v>
      </c>
      <c r="AD29" s="27"/>
    </row>
    <row r="30" spans="1:40" x14ac:dyDescent="0.2">
      <c r="K30" s="27">
        <v>2058</v>
      </c>
      <c r="AD30" s="27"/>
    </row>
    <row r="31" spans="1:40" x14ac:dyDescent="0.2">
      <c r="K31" s="27">
        <v>2060</v>
      </c>
      <c r="AD31" s="27"/>
    </row>
    <row r="32" spans="1:40" x14ac:dyDescent="0.2">
      <c r="K32" s="27">
        <v>2062</v>
      </c>
      <c r="AD32" s="27"/>
    </row>
    <row r="33" spans="11:30" x14ac:dyDescent="0.2">
      <c r="K33" s="27">
        <v>2064</v>
      </c>
      <c r="AD33" s="27"/>
    </row>
    <row r="34" spans="11:30" x14ac:dyDescent="0.2">
      <c r="K34" s="27">
        <v>2066</v>
      </c>
      <c r="AD34" s="27"/>
    </row>
    <row r="35" spans="11:30" x14ac:dyDescent="0.2">
      <c r="K35" s="27">
        <v>2068</v>
      </c>
      <c r="AD35" s="27"/>
    </row>
    <row r="36" spans="11:30" x14ac:dyDescent="0.2">
      <c r="K36" s="27">
        <v>2070</v>
      </c>
      <c r="AD36" s="27"/>
    </row>
  </sheetData>
  <mergeCells count="14">
    <mergeCell ref="B1:F1"/>
    <mergeCell ref="H1:M1"/>
    <mergeCell ref="O1:W1"/>
    <mergeCell ref="O4:P4"/>
    <mergeCell ref="R4:U4"/>
    <mergeCell ref="V4:W4"/>
    <mergeCell ref="Z1:AG1"/>
    <mergeCell ref="AH1:AI1"/>
    <mergeCell ref="AJ1:AL2"/>
    <mergeCell ref="R9:S9"/>
    <mergeCell ref="T9:U9"/>
    <mergeCell ref="V9:W9"/>
    <mergeCell ref="Z4:AG4"/>
    <mergeCell ref="AH4:AI4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0640E-CB3F-4BF1-A86C-0E3DA1550B07}">
  <dimension ref="A1:AN21"/>
  <sheetViews>
    <sheetView topLeftCell="H1" zoomScale="80" zoomScaleNormal="80" workbookViewId="0">
      <selection activeCell="I32" sqref="I32"/>
    </sheetView>
  </sheetViews>
  <sheetFormatPr baseColWidth="10" defaultColWidth="8.83203125" defaultRowHeight="15" x14ac:dyDescent="0.2"/>
  <cols>
    <col min="2" max="2" width="11" customWidth="1"/>
    <col min="3" max="3" width="11.5" customWidth="1"/>
    <col min="4" max="4" width="16.33203125" customWidth="1"/>
    <col min="5" max="5" width="31.33203125" customWidth="1"/>
    <col min="6" max="6" width="12.5" customWidth="1"/>
    <col min="7" max="7" width="17.83203125" customWidth="1"/>
    <col min="8" max="8" width="20" customWidth="1"/>
    <col min="9" max="9" width="44.33203125" customWidth="1"/>
    <col min="10" max="10" width="6.6640625" customWidth="1"/>
    <col min="11" max="11" width="10.83203125" customWidth="1"/>
    <col min="12" max="12" width="15.33203125" customWidth="1"/>
    <col min="13" max="14" width="12.33203125" customWidth="1"/>
    <col min="15" max="15" width="18.5" bestFit="1" customWidth="1"/>
    <col min="17" max="17" width="21.5" bestFit="1" customWidth="1"/>
    <col min="18" max="18" width="29.83203125" bestFit="1" customWidth="1"/>
    <col min="19" max="19" width="22.83203125" bestFit="1" customWidth="1"/>
    <col min="20" max="20" width="22.5" bestFit="1" customWidth="1"/>
    <col min="21" max="21" width="17" customWidth="1"/>
    <col min="22" max="22" width="16.33203125" customWidth="1"/>
    <col min="23" max="23" width="25.33203125" bestFit="1" customWidth="1"/>
    <col min="24" max="25" width="25.33203125" customWidth="1"/>
    <col min="26" max="27" width="12.33203125" customWidth="1"/>
    <col min="28" max="28" width="15.6640625" bestFit="1" customWidth="1"/>
    <col min="29" max="29" width="27.1640625" bestFit="1" customWidth="1"/>
    <col min="30" max="30" width="18.1640625" customWidth="1"/>
    <col min="31" max="31" width="27.1640625" customWidth="1"/>
    <col min="32" max="32" width="21.5" bestFit="1" customWidth="1"/>
    <col min="33" max="33" width="8.1640625" bestFit="1" customWidth="1"/>
    <col min="34" max="34" width="11.5" bestFit="1" customWidth="1"/>
    <col min="35" max="35" width="16.1640625" customWidth="1"/>
    <col min="36" max="36" width="18.5" customWidth="1"/>
    <col min="37" max="37" width="18.1640625" customWidth="1"/>
    <col min="38" max="38" width="20.83203125" bestFit="1" customWidth="1"/>
    <col min="39" max="39" width="33.5" bestFit="1" customWidth="1"/>
  </cols>
  <sheetData>
    <row r="1" spans="1:40" x14ac:dyDescent="0.2">
      <c r="B1" s="35" t="s">
        <v>0</v>
      </c>
      <c r="C1" s="35"/>
      <c r="D1" s="35"/>
      <c r="E1" s="35"/>
      <c r="F1" s="35"/>
      <c r="G1" s="2"/>
      <c r="H1" s="36" t="s">
        <v>1</v>
      </c>
      <c r="I1" s="36"/>
      <c r="J1" s="36"/>
      <c r="K1" s="36"/>
      <c r="L1" s="36"/>
      <c r="M1" s="36"/>
      <c r="N1" s="31"/>
      <c r="O1" s="38" t="s">
        <v>2</v>
      </c>
      <c r="P1" s="38"/>
      <c r="Q1" s="38"/>
      <c r="R1" s="38"/>
      <c r="S1" s="38"/>
      <c r="T1" s="38"/>
      <c r="U1" s="38"/>
      <c r="V1" s="38"/>
      <c r="W1" s="38"/>
      <c r="X1" s="29"/>
      <c r="Y1" s="29"/>
      <c r="Z1" s="36" t="s">
        <v>3</v>
      </c>
      <c r="AA1" s="36"/>
      <c r="AB1" s="36"/>
      <c r="AC1" s="36"/>
      <c r="AD1" s="36"/>
      <c r="AE1" s="36"/>
      <c r="AF1" s="36"/>
      <c r="AG1" s="37"/>
      <c r="AH1" s="42" t="s">
        <v>4</v>
      </c>
      <c r="AI1" s="43"/>
      <c r="AJ1" s="46" t="s">
        <v>5</v>
      </c>
      <c r="AK1" s="47"/>
      <c r="AL1" s="47"/>
      <c r="AM1" s="9"/>
    </row>
    <row r="2" spans="1:40" ht="32" x14ac:dyDescent="0.2">
      <c r="A2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3" t="s">
        <v>12</v>
      </c>
      <c r="H2" s="4" t="s">
        <v>13</v>
      </c>
      <c r="I2" s="4" t="s">
        <v>14</v>
      </c>
      <c r="J2" s="4" t="s">
        <v>15</v>
      </c>
      <c r="K2" s="4" t="s">
        <v>16</v>
      </c>
      <c r="L2" s="4" t="s">
        <v>17</v>
      </c>
      <c r="M2" s="4" t="s">
        <v>18</v>
      </c>
      <c r="N2" s="34" t="s">
        <v>151</v>
      </c>
      <c r="O2" s="5" t="s">
        <v>19</v>
      </c>
      <c r="P2" s="5" t="s">
        <v>20</v>
      </c>
      <c r="Q2" s="5" t="s">
        <v>21</v>
      </c>
      <c r="R2" s="5" t="s">
        <v>22</v>
      </c>
      <c r="S2" s="5" t="s">
        <v>23</v>
      </c>
      <c r="T2" s="5" t="s">
        <v>24</v>
      </c>
      <c r="U2" s="5" t="s">
        <v>25</v>
      </c>
      <c r="V2" s="5" t="s">
        <v>26</v>
      </c>
      <c r="W2" s="5" t="s">
        <v>27</v>
      </c>
      <c r="X2" s="34" t="s">
        <v>125</v>
      </c>
      <c r="Y2" s="34" t="s">
        <v>126</v>
      </c>
      <c r="Z2" s="4" t="s">
        <v>28</v>
      </c>
      <c r="AA2" s="33" t="s">
        <v>124</v>
      </c>
      <c r="AB2" s="4" t="s">
        <v>29</v>
      </c>
      <c r="AC2" s="13" t="s">
        <v>30</v>
      </c>
      <c r="AD2" s="13"/>
      <c r="AE2" s="13"/>
      <c r="AF2" s="4" t="s">
        <v>96</v>
      </c>
      <c r="AG2" s="16" t="s">
        <v>31</v>
      </c>
      <c r="AH2" s="14" t="s">
        <v>32</v>
      </c>
      <c r="AI2" s="12" t="s">
        <v>33</v>
      </c>
      <c r="AJ2" s="48"/>
      <c r="AK2" s="49"/>
      <c r="AL2" s="49"/>
    </row>
    <row r="3" spans="1:40" x14ac:dyDescent="0.2">
      <c r="A3" t="s">
        <v>34</v>
      </c>
      <c r="B3" s="3"/>
      <c r="C3" s="3"/>
      <c r="D3" s="3"/>
      <c r="E3" s="3"/>
      <c r="F3" s="3"/>
      <c r="G3" s="3"/>
      <c r="H3" s="4"/>
      <c r="I3" s="4"/>
      <c r="J3" s="4"/>
      <c r="K3" s="4"/>
      <c r="L3" s="4"/>
      <c r="M3" s="4"/>
      <c r="N3" s="4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4"/>
      <c r="AA3" s="4"/>
      <c r="AB3" s="4"/>
      <c r="AC3" s="13"/>
      <c r="AD3" s="13"/>
      <c r="AE3" s="13"/>
      <c r="AF3" s="4"/>
      <c r="AG3" s="23"/>
      <c r="AH3" s="14"/>
      <c r="AI3" s="24" t="s">
        <v>102</v>
      </c>
      <c r="AJ3" s="17"/>
      <c r="AK3" s="20"/>
      <c r="AL3" s="20"/>
    </row>
    <row r="4" spans="1:40" hidden="1" x14ac:dyDescent="0.2">
      <c r="A4" t="s">
        <v>35</v>
      </c>
      <c r="B4" s="3" t="s">
        <v>36</v>
      </c>
      <c r="C4" s="3" t="s">
        <v>36</v>
      </c>
      <c r="D4" s="3" t="s">
        <v>37</v>
      </c>
      <c r="E4" s="3" t="s">
        <v>36</v>
      </c>
      <c r="F4" s="3" t="s">
        <v>36</v>
      </c>
      <c r="G4" s="3"/>
      <c r="H4" s="4" t="s">
        <v>38</v>
      </c>
      <c r="I4" s="4" t="s">
        <v>39</v>
      </c>
      <c r="J4" s="4" t="s">
        <v>40</v>
      </c>
      <c r="K4" s="4" t="s">
        <v>41</v>
      </c>
      <c r="L4" s="4" t="s">
        <v>17</v>
      </c>
      <c r="M4" s="4" t="s">
        <v>42</v>
      </c>
      <c r="N4" s="4"/>
      <c r="O4" s="39" t="s">
        <v>43</v>
      </c>
      <c r="P4" s="39"/>
      <c r="Q4" s="6"/>
      <c r="R4" s="39" t="s">
        <v>44</v>
      </c>
      <c r="S4" s="39"/>
      <c r="T4" s="39"/>
      <c r="U4" s="39"/>
      <c r="V4" s="39" t="s">
        <v>45</v>
      </c>
      <c r="W4" s="39"/>
      <c r="X4" s="6"/>
      <c r="Y4" s="6"/>
      <c r="Z4" s="40" t="s">
        <v>46</v>
      </c>
      <c r="AA4" s="40"/>
      <c r="AB4" s="40"/>
      <c r="AC4" s="40"/>
      <c r="AD4" s="40"/>
      <c r="AE4" s="40"/>
      <c r="AF4" s="40"/>
      <c r="AG4" s="41"/>
      <c r="AH4" s="44" t="s">
        <v>47</v>
      </c>
      <c r="AI4" s="45"/>
      <c r="AJ4" s="18" t="s">
        <v>48</v>
      </c>
      <c r="AK4" s="19" t="s">
        <v>49</v>
      </c>
      <c r="AL4" s="19" t="s">
        <v>32</v>
      </c>
    </row>
    <row r="5" spans="1:40" hidden="1" x14ac:dyDescent="0.2">
      <c r="A5" t="s">
        <v>50</v>
      </c>
      <c r="B5" s="3"/>
      <c r="C5" s="3"/>
      <c r="D5" s="3"/>
      <c r="E5" s="3"/>
      <c r="F5" s="3"/>
      <c r="G5" s="3"/>
      <c r="H5" s="4"/>
      <c r="I5" s="4"/>
      <c r="J5" s="4"/>
      <c r="K5" s="4"/>
      <c r="L5" s="4"/>
      <c r="M5" s="4"/>
      <c r="N5" s="4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7"/>
      <c r="AA5" s="7"/>
      <c r="AB5" s="7"/>
      <c r="AC5" s="7"/>
      <c r="AD5" s="7"/>
      <c r="AE5" s="7"/>
      <c r="AF5" s="7"/>
      <c r="AG5" s="11"/>
      <c r="AH5" s="21"/>
      <c r="AI5" s="22"/>
      <c r="AJ5" s="18"/>
      <c r="AK5" s="19"/>
      <c r="AL5" s="19"/>
    </row>
    <row r="6" spans="1:40" hidden="1" x14ac:dyDescent="0.2">
      <c r="A6" t="s">
        <v>51</v>
      </c>
      <c r="B6" s="3"/>
      <c r="C6" s="3"/>
      <c r="D6" s="3"/>
      <c r="E6" s="3"/>
      <c r="F6" s="3"/>
      <c r="G6" s="3"/>
      <c r="H6" s="4"/>
      <c r="I6" s="4"/>
      <c r="J6" s="4"/>
      <c r="K6" s="4"/>
      <c r="L6" s="4"/>
      <c r="M6" s="4"/>
      <c r="N6" s="4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7"/>
      <c r="AA6" s="7"/>
      <c r="AB6" s="7"/>
      <c r="AC6" s="7"/>
      <c r="AD6" s="7"/>
      <c r="AE6" s="7"/>
      <c r="AF6" s="7"/>
      <c r="AG6" s="11"/>
      <c r="AH6" s="21"/>
      <c r="AI6" s="22"/>
      <c r="AJ6" s="18"/>
      <c r="AK6" s="19"/>
      <c r="AL6" s="19"/>
    </row>
    <row r="7" spans="1:40" hidden="1" x14ac:dyDescent="0.2">
      <c r="A7" t="s">
        <v>52</v>
      </c>
      <c r="B7" s="3"/>
      <c r="C7" s="3"/>
      <c r="D7" s="3"/>
      <c r="E7" s="3"/>
      <c r="F7" s="3"/>
      <c r="G7" s="3"/>
      <c r="H7" s="4"/>
      <c r="I7" s="4"/>
      <c r="J7" s="4"/>
      <c r="K7" s="4"/>
      <c r="L7" s="4"/>
      <c r="M7" s="4"/>
      <c r="N7" s="4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7"/>
      <c r="AA7" s="7"/>
      <c r="AB7" s="7"/>
      <c r="AC7" s="7"/>
      <c r="AD7" s="7"/>
      <c r="AE7" s="7"/>
      <c r="AF7" s="7"/>
      <c r="AG7" s="11"/>
      <c r="AH7" s="21"/>
      <c r="AI7" s="22"/>
      <c r="AJ7" s="18"/>
      <c r="AK7" s="19"/>
      <c r="AL7" s="19"/>
    </row>
    <row r="8" spans="1:40" ht="96" x14ac:dyDescent="0.2">
      <c r="A8" t="s">
        <v>53</v>
      </c>
      <c r="B8" s="8" t="s">
        <v>36</v>
      </c>
      <c r="C8" s="8" t="s">
        <v>36</v>
      </c>
      <c r="D8" s="8" t="s">
        <v>54</v>
      </c>
      <c r="E8" s="8"/>
      <c r="F8" s="8" t="s">
        <v>36</v>
      </c>
      <c r="G8" s="8"/>
      <c r="H8" s="8" t="s">
        <v>55</v>
      </c>
      <c r="I8" s="8" t="s">
        <v>56</v>
      </c>
      <c r="J8" s="8" t="s">
        <v>57</v>
      </c>
      <c r="K8" s="8" t="s">
        <v>41</v>
      </c>
      <c r="L8" s="8" t="s">
        <v>58</v>
      </c>
      <c r="M8" s="8" t="s">
        <v>59</v>
      </c>
      <c r="N8" s="8"/>
      <c r="O8" s="8" t="s">
        <v>60</v>
      </c>
      <c r="P8" s="8" t="s">
        <v>61</v>
      </c>
      <c r="Q8" s="8" t="s">
        <v>62</v>
      </c>
      <c r="R8" s="8" t="s">
        <v>63</v>
      </c>
      <c r="S8" s="8" t="s">
        <v>64</v>
      </c>
      <c r="T8" s="8" t="s">
        <v>65</v>
      </c>
      <c r="U8" s="8" t="s">
        <v>66</v>
      </c>
      <c r="V8" s="8" t="s">
        <v>67</v>
      </c>
      <c r="W8" s="8" t="s">
        <v>68</v>
      </c>
      <c r="X8" s="8"/>
      <c r="Y8" s="8"/>
      <c r="Z8" s="8" t="s">
        <v>69</v>
      </c>
      <c r="AA8" s="8"/>
      <c r="AB8" s="8" t="s">
        <v>70</v>
      </c>
      <c r="AC8" s="8" t="s">
        <v>71</v>
      </c>
      <c r="AD8" s="32" t="s">
        <v>110</v>
      </c>
      <c r="AE8" s="8" t="s">
        <v>101</v>
      </c>
      <c r="AF8" s="8" t="s">
        <v>95</v>
      </c>
      <c r="AG8" s="8"/>
      <c r="AH8" s="10" t="s">
        <v>72</v>
      </c>
      <c r="AI8" s="10"/>
      <c r="AJ8" s="15" t="s">
        <v>73</v>
      </c>
      <c r="AK8" s="15" t="s">
        <v>74</v>
      </c>
      <c r="AL8" s="15" t="s">
        <v>75</v>
      </c>
    </row>
    <row r="9" spans="1:40" ht="32" x14ac:dyDescent="0.2">
      <c r="A9" t="s">
        <v>76</v>
      </c>
      <c r="B9" s="8"/>
      <c r="C9" s="8"/>
      <c r="D9" s="8"/>
      <c r="E9" s="8"/>
      <c r="F9" s="8"/>
      <c r="G9" s="8"/>
      <c r="H9" s="8"/>
      <c r="I9" s="8"/>
      <c r="J9" s="8"/>
      <c r="K9" s="8"/>
      <c r="L9" s="8" t="s">
        <v>77</v>
      </c>
      <c r="M9" s="8"/>
      <c r="N9" s="8"/>
      <c r="O9" s="8"/>
      <c r="P9" s="8"/>
      <c r="Q9" s="8"/>
      <c r="R9" s="50" t="s">
        <v>78</v>
      </c>
      <c r="S9" s="50"/>
      <c r="T9" s="51" t="s">
        <v>79</v>
      </c>
      <c r="U9" s="52"/>
      <c r="V9" s="51" t="s">
        <v>116</v>
      </c>
      <c r="W9" s="52"/>
      <c r="X9" s="30"/>
      <c r="Y9" s="30"/>
      <c r="Z9" s="8"/>
      <c r="AA9" s="8"/>
      <c r="AB9" s="25" t="s">
        <v>99</v>
      </c>
      <c r="AC9" s="8"/>
      <c r="AD9" s="8" t="s">
        <v>135</v>
      </c>
      <c r="AE9" s="8"/>
      <c r="AF9" s="8"/>
      <c r="AG9" s="8" t="s">
        <v>81</v>
      </c>
      <c r="AH9" s="10" t="s">
        <v>61</v>
      </c>
      <c r="AI9" s="10"/>
      <c r="AJ9" s="8"/>
      <c r="AK9" s="8"/>
      <c r="AL9" s="8" t="s">
        <v>81</v>
      </c>
    </row>
    <row r="10" spans="1:40" s="26" customFormat="1" x14ac:dyDescent="0.2">
      <c r="A10" t="s">
        <v>141</v>
      </c>
      <c r="B10" t="s">
        <v>83</v>
      </c>
      <c r="C10" t="s">
        <v>84</v>
      </c>
      <c r="D10" t="s">
        <v>85</v>
      </c>
      <c r="E10" t="s">
        <v>157</v>
      </c>
      <c r="F10" t="s">
        <v>84</v>
      </c>
      <c r="G10" t="s">
        <v>100</v>
      </c>
      <c r="H10" t="s">
        <v>155</v>
      </c>
      <c r="I10" t="s">
        <v>156</v>
      </c>
      <c r="J10" t="s">
        <v>89</v>
      </c>
      <c r="K10" s="27">
        <v>2018</v>
      </c>
      <c r="L10">
        <v>2018</v>
      </c>
      <c r="M10">
        <v>20</v>
      </c>
      <c r="N10">
        <v>0</v>
      </c>
      <c r="O10">
        <v>0</v>
      </c>
      <c r="P10" t="s">
        <v>61</v>
      </c>
      <c r="Q10" t="s">
        <v>90</v>
      </c>
      <c r="R10">
        <v>34.880771182140997</v>
      </c>
      <c r="S10" t="s">
        <v>61</v>
      </c>
      <c r="T10">
        <v>3.6943870440506998</v>
      </c>
      <c r="U10" t="s">
        <v>132</v>
      </c>
      <c r="V10">
        <v>0</v>
      </c>
      <c r="W10" t="s">
        <v>93</v>
      </c>
      <c r="X10"/>
      <c r="Y10"/>
      <c r="Z10">
        <v>0</v>
      </c>
      <c r="AA10">
        <v>1</v>
      </c>
      <c r="AB10">
        <v>1</v>
      </c>
      <c r="AC10" t="s">
        <v>134</v>
      </c>
      <c r="AD10" s="27">
        <v>78.815227629513302</v>
      </c>
      <c r="AE10" t="s">
        <v>109</v>
      </c>
      <c r="AF10">
        <v>1</v>
      </c>
      <c r="AG10" t="s">
        <v>109</v>
      </c>
      <c r="AH10">
        <v>0.28373481946624801</v>
      </c>
      <c r="AI10" t="s">
        <v>98</v>
      </c>
      <c r="AJ10"/>
      <c r="AK10"/>
      <c r="AL10"/>
      <c r="AM10"/>
      <c r="AN10"/>
    </row>
    <row r="11" spans="1:40" s="26" customFormat="1" x14ac:dyDescent="0.2">
      <c r="A11"/>
      <c r="B11"/>
      <c r="C11"/>
      <c r="D11"/>
      <c r="E11"/>
      <c r="F11"/>
      <c r="G11"/>
      <c r="H11"/>
      <c r="I11"/>
      <c r="J11"/>
      <c r="K11" s="27">
        <v>2020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 s="27">
        <v>206.45710743608899</v>
      </c>
      <c r="AE11"/>
      <c r="AF11"/>
      <c r="AG11"/>
      <c r="AH11"/>
      <c r="AI11"/>
      <c r="AJ11"/>
      <c r="AK11"/>
      <c r="AL11"/>
      <c r="AM11"/>
      <c r="AN11"/>
    </row>
    <row r="12" spans="1:40" s="26" customFormat="1" x14ac:dyDescent="0.2">
      <c r="A12"/>
      <c r="B12"/>
      <c r="C12"/>
      <c r="D12"/>
      <c r="E12"/>
      <c r="F12"/>
      <c r="G12"/>
      <c r="H12"/>
      <c r="I12"/>
      <c r="J12"/>
      <c r="K12" s="27">
        <v>2022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 s="27">
        <v>371.04858388589997</v>
      </c>
      <c r="AE12"/>
      <c r="AF12"/>
      <c r="AG12"/>
      <c r="AH12"/>
      <c r="AI12"/>
      <c r="AJ12"/>
      <c r="AK12"/>
      <c r="AL12"/>
      <c r="AM12"/>
      <c r="AN12"/>
    </row>
    <row r="13" spans="1:40" s="26" customFormat="1" x14ac:dyDescent="0.2">
      <c r="A13"/>
      <c r="B13"/>
      <c r="C13"/>
      <c r="D13"/>
      <c r="E13"/>
      <c r="F13"/>
      <c r="G13"/>
      <c r="H13"/>
      <c r="I13"/>
      <c r="J13"/>
      <c r="K13" s="27">
        <v>2024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 s="27">
        <v>544.35634920202995</v>
      </c>
      <c r="AE13"/>
      <c r="AF13"/>
      <c r="AG13"/>
      <c r="AH13"/>
      <c r="AI13"/>
      <c r="AJ13"/>
      <c r="AK13"/>
      <c r="AL13"/>
      <c r="AM13"/>
      <c r="AN13"/>
    </row>
    <row r="14" spans="1:40" s="26" customFormat="1" x14ac:dyDescent="0.2">
      <c r="A14"/>
      <c r="B14"/>
      <c r="C14"/>
      <c r="D14"/>
      <c r="E14"/>
      <c r="F14"/>
      <c r="G14"/>
      <c r="H14"/>
      <c r="I14"/>
      <c r="J14"/>
      <c r="K14" s="27">
        <v>2026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 s="27">
        <v>651.27911729691198</v>
      </c>
      <c r="AE14"/>
      <c r="AF14"/>
      <c r="AG14"/>
      <c r="AH14"/>
      <c r="AI14"/>
      <c r="AJ14"/>
      <c r="AK14"/>
      <c r="AL14"/>
      <c r="AM14"/>
      <c r="AN14"/>
    </row>
    <row r="15" spans="1:40" s="26" customFormat="1" x14ac:dyDescent="0.2">
      <c r="A15"/>
      <c r="B15"/>
      <c r="C15"/>
      <c r="D15"/>
      <c r="E15"/>
      <c r="F15"/>
      <c r="G15"/>
      <c r="H15"/>
      <c r="I15"/>
      <c r="J15"/>
      <c r="K15" s="27">
        <v>2028</v>
      </c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 s="27">
        <v>709.95842605350697</v>
      </c>
      <c r="AE15"/>
      <c r="AF15"/>
      <c r="AG15"/>
      <c r="AH15"/>
      <c r="AI15"/>
      <c r="AJ15"/>
      <c r="AK15"/>
      <c r="AL15"/>
      <c r="AM15"/>
      <c r="AN15"/>
    </row>
    <row r="16" spans="1:40" s="26" customFormat="1" x14ac:dyDescent="0.2">
      <c r="A16"/>
      <c r="B16"/>
      <c r="C16"/>
      <c r="D16"/>
      <c r="E16"/>
      <c r="F16"/>
      <c r="G16"/>
      <c r="H16"/>
      <c r="I16"/>
      <c r="J16"/>
      <c r="K16" s="27">
        <v>2030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 s="27">
        <v>773.69320405384804</v>
      </c>
      <c r="AE16"/>
      <c r="AF16"/>
      <c r="AG16"/>
      <c r="AH16"/>
      <c r="AI16"/>
      <c r="AJ16"/>
      <c r="AK16"/>
      <c r="AL16"/>
      <c r="AM16"/>
      <c r="AN16"/>
    </row>
    <row r="17" spans="1:40" s="26" customFormat="1" x14ac:dyDescent="0.2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</row>
    <row r="18" spans="1:40" s="26" customFormat="1" x14ac:dyDescent="0.2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</row>
    <row r="19" spans="1:40" s="26" customFormat="1" x14ac:dyDescent="0.2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</row>
    <row r="20" spans="1:40" s="26" customFormat="1" x14ac:dyDescent="0.2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</row>
    <row r="21" spans="1:40" s="26" customFormat="1" x14ac:dyDescent="0.2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</row>
  </sheetData>
  <mergeCells count="14">
    <mergeCell ref="Z1:AG1"/>
    <mergeCell ref="AH1:AI1"/>
    <mergeCell ref="AJ1:AL2"/>
    <mergeCell ref="R9:S9"/>
    <mergeCell ref="T9:U9"/>
    <mergeCell ref="V9:W9"/>
    <mergeCell ref="Z4:AG4"/>
    <mergeCell ref="AH4:AI4"/>
    <mergeCell ref="B1:F1"/>
    <mergeCell ref="H1:M1"/>
    <mergeCell ref="O1:W1"/>
    <mergeCell ref="O4:P4"/>
    <mergeCell ref="R4:U4"/>
    <mergeCell ref="V4:W4"/>
  </mergeCell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913A72E95D6C74FA6CE9E44ACC43310" ma:contentTypeVersion="12" ma:contentTypeDescription="Create a new document." ma:contentTypeScope="" ma:versionID="48a2e2a749e7b2fd54ead75d411a4b67">
  <xsd:schema xmlns:xsd="http://www.w3.org/2001/XMLSchema" xmlns:xs="http://www.w3.org/2001/XMLSchema" xmlns:p="http://schemas.microsoft.com/office/2006/metadata/properties" xmlns:ns2="984c4d19-7ea2-4a6f-aeda-7b1561349114" targetNamespace="http://schemas.microsoft.com/office/2006/metadata/properties" ma:root="true" ma:fieldsID="7b4a723dc943b0cede59bfc5df35bd0e" ns2:_="">
    <xsd:import namespace="984c4d19-7ea2-4a6f-aeda-7b15613491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4c4d19-7ea2-4a6f-aeda-7b156134911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b1ff4019-fa99-4329-98e7-f3e88d10e8e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84c4d19-7ea2-4a6f-aeda-7b156134911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C874C74-C064-4975-9CDA-A47379C45A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84c4d19-7ea2-4a6f-aeda-7b15613491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CD891E-2CC8-4942-ADB6-01326D8745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1D803F4-625A-425E-8AAE-F12A11C703E0}">
  <ds:schemaRefs>
    <ds:schemaRef ds:uri="984c4d19-7ea2-4a6f-aeda-7b1561349114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terms/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Power</vt:lpstr>
      <vt:lpstr>Industry</vt:lpstr>
      <vt:lpstr>Primary</vt:lpstr>
      <vt:lpstr>Transport</vt:lpstr>
      <vt:lpstr>Water</vt:lpstr>
      <vt:lpstr>Waste</vt:lpstr>
      <vt:lpstr>Building</vt:lpstr>
      <vt:lpstr>Household</vt:lpstr>
      <vt:lpstr>Agri</vt:lpstr>
      <vt:lpstr>InfoComm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Wang Zhaomin</dc:creator>
  <cp:keywords/>
  <dc:description/>
  <cp:lastModifiedBy>Fan Yazhuoting</cp:lastModifiedBy>
  <cp:revision/>
  <dcterms:created xsi:type="dcterms:W3CDTF">2026-01-21T02:06:54Z</dcterms:created>
  <dcterms:modified xsi:type="dcterms:W3CDTF">2026-04-06T02:21:21Z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0x0101009913A72E95D6C74FA6CE9E44ACC43310</vt:lpwstr>
  </property>
  <property fmtid="{D5CDD505-2E9C-101B-9397-08002B2CF9AE}" pid="3" name="MediaServiceImageTags">
    <vt:lpwstr/>
  </property>
</Properties>
</file>