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fanyazhuoting/Documents/AStar/"/>
    </mc:Choice>
  </mc:AlternateContent>
  <xr:revisionPtr revIDLastSave="0" documentId="8_{65A95050-8738-4E4B-BA6F-63DE247F2099}" xr6:coauthVersionLast="47" xr6:coauthVersionMax="47" xr10:uidLastSave="{00000000-0000-0000-0000-000000000000}"/>
  <bookViews>
    <workbookView xWindow="0" yWindow="740" windowWidth="29400" windowHeight="16740" tabRatio="728" xr2:uid="{040DC2EE-8E27-44E1-BFFB-EEC7B065C481}"/>
  </bookViews>
  <sheets>
    <sheet name="Power" sheetId="1" r:id="rId1"/>
    <sheet name="Industry" sheetId="2" r:id="rId2"/>
    <sheet name="Primary" sheetId="3" r:id="rId3"/>
    <sheet name="Transport" sheetId="4" r:id="rId4"/>
    <sheet name="Water" sheetId="5" r:id="rId5"/>
    <sheet name="Waste" sheetId="6" r:id="rId6"/>
    <sheet name="Building" sheetId="7" r:id="rId7"/>
    <sheet name="Household" sheetId="8" r:id="rId8"/>
    <sheet name="Agri" sheetId="9" r:id="rId9"/>
    <sheet name="InfoComm" sheetId="10" r:id="rId10"/>
  </sheets>
  <externalReferences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6" i="3" l="1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  <author>Author</author>
  </authors>
  <commentList>
    <comment ref="F2" authorId="0" shapeId="0" xr:uid="{583ACC6F-0F17-4275-8D6A-A1843675C134}">
      <text>
        <r>
          <rPr>
            <b/>
            <sz val="9"/>
            <color rgb="FF000000"/>
            <rFont val="Tahoma"/>
            <family val="2"/>
          </rPr>
          <t>Koo Chia Wei: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will agencies ask where and when yall use?</t>
        </r>
      </text>
    </comment>
    <comment ref="R4" authorId="0" shapeId="0" xr:uid="{2DB412F7-8DFB-454A-811E-443FBB49038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94D1C5EA-0027-4A36-964C-9CBABE84A3C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1F604F9F-C508-4018-A498-DD275343B17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2693A24D-19D4-4021-80EC-F3C285EDDD2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B110950D-7ACB-4068-8E6C-50FBC21ED20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DF3A60CC-A329-4686-8B48-8B1B5911559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39261782-1781-4146-B4F2-F8087A13FA9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780FACCA-1988-4107-B77E-167614769D6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41317DE8-0CC1-4085-94E9-57DAA0DD62D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04EB0826-1488-4D49-808B-4B51919C61F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C99C3826-912A-4059-BB94-81F85CB08D6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Z20" authorId="0" shapeId="0" xr:uid="{CB890448-738E-4CCA-8708-EF8E882BB01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Applicable for all years</t>
        </r>
      </text>
    </comment>
    <comment ref="I21" authorId="1" shapeId="0" xr:uid="{7930F9E0-A1DE-4C72-AFF8-BAF8E0BB91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Minimum Investment Block</t>
        </r>
      </text>
    </comment>
    <comment ref="M21" authorId="0" shapeId="0" xr:uid="{D122B4D9-BFE3-4B88-9342-46618413B6B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Lifetime applies across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4B1B8F57-33C6-4436-B680-8390BBF682F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D5A4C4F0-9B02-472C-9520-3E7D6EE068D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CF39DD1D-FB36-4C49-A04B-562A8A69CAD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7B1458BE-16B6-4108-9F71-5872B9A4858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36A26545-1607-4853-A61B-1398520BA86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925F4B2E-BEB5-459F-A1DD-9A1AE76D584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0311BAE9-811E-4D86-8905-652AC338380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42394E34-6863-42AC-BE23-F2278C97CBD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0B4C86C6-134F-41B1-A83B-49557421F18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A8EDC054-E2A8-4622-8D8D-CFDACEEAC1C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457E7DCA-BDCF-4329-8C6B-FBC748EDCA7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58AFCBF0-5EC2-4FB6-B58E-AD9BE22CF5B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C41B5134-1573-4F0B-9F75-3D435FDB6AF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83A372B3-3C66-41BD-B7A9-36D7D981C2C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BFC2FF5A-EB85-46B5-BA4A-B2666DC1A29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47A8FED3-049F-40D9-BF25-C0BF80A5FB2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A1370468-8CFF-4CB6-AD54-262CB7CA041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54FFAE37-4727-4918-BAAE-D9FEFF6ADBA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A2E6AE38-4A2F-49D7-8708-6945C503D85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9088A1FF-DC76-40B0-BBCA-726298C21F2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6A108FDB-8AF7-48BC-A3AD-EA9A0E44CBB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B313AA24-5C4B-4E7F-87A6-B90CED48C68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D7FDB1BA-559F-4D24-9464-36328D82082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3099649E-BC27-4F7B-BC95-E4FB8D01A74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7667C8C1-21E2-4B63-9F4F-0778E72108E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4BBD1398-FA67-45FF-B1D5-D5E3DD6260F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7C0B26AE-9B1A-4CE8-8582-B0C259AFFD7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40B9F70B-2C62-4E00-B710-E7E2CCD7361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EA303FB2-55A5-4E56-AA34-7A6090DEB43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93596366-7E0E-4BB8-AB73-477BDAF4B87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249E3FDD-7D7D-487D-834D-5F98F9583C4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425B714E-8293-473E-88DD-578A269B68C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C409D29F-7820-429F-A196-6E1E718F320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6759FD79-86E6-4D18-AE46-BE335F867C5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0C03D4BD-9ADF-4F69-A1E2-00018A37717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2DCBF554-D43D-44C7-9281-25FC78EBBF5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D5A87202-9508-4661-A956-B4D817C1877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CD7CB35A-2A47-4A0C-9230-D699C7F7223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5EC28119-D29B-4019-8DF4-0F0E2687781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C38DD1AA-E8AE-4007-8EE9-643E8C93E30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D940B4E2-0F15-4F85-89F8-52369E0D3CD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5F404C81-0BFE-4D4D-97AD-32461A68FE5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9684674A-27AC-495D-A829-9F613FB24B1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EE5623F8-DCB0-4BEA-A939-F2015A98819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893DC7DE-CC7E-4CAA-9A5C-8EA4AFA8C96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8ADAB934-86A5-498D-96F4-A1EFFA708EC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8BFF5AC2-3B7D-4BC4-8F9D-B2AD985E1EA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7C68FA68-4A5F-420E-AB91-E8044125460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ABD38DEC-827F-4482-A455-4FCCFFC8B20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B785EDA1-C3C0-4296-99FE-456CC21CE5D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FCC9088A-CA97-4D7B-881A-F9C70B2F862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05649210-51EA-4DB7-95FD-1B35D42E9B3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D0EA250F-2B85-49C2-BD03-A86B085BFA0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E5279F13-3769-4342-989C-1F49C8128DF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A48FDDE1-4248-4145-8AA0-EE92E8AEA1F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4FFB6CB7-88D7-40EB-B55E-7D2B804F0FD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ED9A0F3B-BEB3-425E-B4B6-E1006368CC4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55DC8E28-4183-4D89-8B43-90DB1DE230A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D4510BF5-E3B9-4E56-84C8-FC64CF70742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2AC9C683-D16F-4EB0-8E2A-0DE88DD6797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058A84B3-B2F3-47EE-BDD3-38D3CAC1CC3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E4DF0AFB-68ED-4452-BCCD-2074A883042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3F74BACF-05EA-49B5-B4D6-99F2FCA008E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528CF86F-5EB6-4633-8B4B-3565077FBC9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36A3616E-9B4A-4302-9DFE-7010022C18F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B7E24E94-7338-49ED-B58C-917D371BA58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D3DF2E76-C7EB-4A7F-9833-43BB3E3AD17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70220BB4-3387-4917-919E-00A17866241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0DF0FCE3-9F3C-47C8-A7ED-41EB5CE11EE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20DB6FF3-56F1-4A4A-AE24-25410E34FC3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4ADD115F-C922-4102-BF94-009FA57203A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922DB8A8-63C9-431E-AD3B-337DBF7A1A8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00076FF3-28D0-4199-A165-CE6BEF9BB95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A1CEFBE8-5B44-4EDE-BDB0-364D8879B18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A45E9C92-A305-4B20-BEDC-96AC9AD099A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8F0F1A86-5A01-4980-9F4B-220E77A3B87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5A4A38E4-B0AF-4D7F-AA95-54F9E9B975D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76D4C937-6DBE-44CC-BC42-2F6704738ED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8C6350B2-68A3-40B3-823B-6CF7FCD317C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45E65B8A-479C-45C6-91E1-35CE6D1488A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C928EB52-5778-4C68-BCFD-D4BD4CA010A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7D490FC9-15EC-4C0A-AE69-D0D0EB4DAD4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40EC329C-7BF2-4827-9BB2-93AFA459525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E158D0DF-F554-46B8-9EB0-BCE971EB24D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ECCB7CC6-954A-4208-9305-738E3E6D49B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60F2D48E-83D8-46BA-A3E4-68F33818040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15C86D3E-93D8-4E0A-A398-DFF0045A06B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5B1C7C2C-287D-4BFB-8FE9-D0C01AEA791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414A0EB1-E220-40FE-B4A1-9A21B49C0EA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05A6A6E0-E1E0-4EE9-B2A4-07588F4D763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410D99F6-4B58-4E25-897F-4BED143DBE3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994084D3-C531-4022-9EF4-D2EE641C79B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0897BAF5-00C4-4DFE-9787-C526305B638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259AEF82-0872-4590-86D7-44F83CECB2A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3246CE90-EAF8-4B7F-8236-675B58A81B0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27FC81BD-FC79-4127-8CC2-22A239BD30C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C3F7CCBA-A8C6-4769-89C7-51036D4210F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F1712C34-821F-4A0E-BCF1-34ECC5C2182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685315AC-A69E-4D75-8C59-269941E39B2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6FFD5B77-1E7A-4E8E-AFA1-06DDF847C20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17BA13C3-C8FA-4DB8-9963-9F64B5740E8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E61E1E4C-21A8-4ABE-A43F-1104B64D23F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B303F261-BB62-4092-AC21-083FFDDE38C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D8F3B3AF-A481-4B87-8C55-EC2E1D7DD15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A46C8BF8-074D-4A68-A390-9EF01C909B5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C2867243-EC2C-428F-8E70-DD8D867A526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B6174C17-2999-4305-AEC6-827EF940221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8CFFEDDC-AB9B-4CF2-8DE0-D8B770D0004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C2AF8CB2-6BC9-4913-8C38-549F1A9DA70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D3C200D4-0BC2-44E5-9C37-16510A1A775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B520F077-293F-4195-90EE-156B29F6221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0D34BA5F-C0A1-49A3-914F-BA0D1A2A8A5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7987519B-61DD-489D-8261-57DD85C3B82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will agencies ask where and when yall use?</t>
        </r>
      </text>
    </comment>
    <comment ref="R4" authorId="0" shapeId="0" xr:uid="{A47F26C0-AB56-4043-8387-2784EA9DD7B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correct WP2 eventually</t>
        </r>
      </text>
    </comment>
    <comment ref="U10" authorId="0" shapeId="0" xr:uid="{91D5EC3E-8407-4A77-BD58-69BF4580CE6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60090C09-B5FF-4A92-9C31-3F338231E34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B5E68A7E-2516-44A3-9070-3CB8FF6A0AE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6EB1B640-B6A0-4A36-BABF-B8009FBBFE5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1981E54E-0B40-4DCC-92CC-77FEA723937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62A85588-AE8C-4D34-B872-83ABF72E837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37C8E80C-292A-491F-835F-DAEB0570B63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77FE4F6B-A0B9-412C-B8FB-AD1BFBC6F32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74123288-B063-4A40-98B4-93C04F3FA74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2957F22E-2FD1-426E-B2D3-E690EDBCB37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7C8825C4-B721-4E59-81DB-24F2C0955D2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0960BF11-2E99-4F4E-81AD-64A02295F8B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sharedStrings.xml><?xml version="1.0" encoding="utf-8"?>
<sst xmlns="http://schemas.openxmlformats.org/spreadsheetml/2006/main" count="1975" uniqueCount="160">
  <si>
    <t>traceability</t>
  </si>
  <si>
    <t>dataset descriptor</t>
  </si>
  <si>
    <t>EcoTEA</t>
  </si>
  <si>
    <t>WP Specific technology descriptors</t>
  </si>
  <si>
    <r>
      <rPr>
        <b/>
        <sz val="11"/>
        <color theme="1"/>
        <rFont val="Aptos Narrow"/>
        <family val="2"/>
        <scheme val="minor"/>
      </rPr>
      <t>other non EcoTEA</t>
    </r>
    <r>
      <rPr>
        <sz val="11"/>
        <color theme="1"/>
        <rFont val="Aptos Narrow"/>
        <family val="2"/>
        <scheme val="minor"/>
      </rPr>
      <t xml:space="preserve"> (model contraints)</t>
    </r>
  </si>
  <si>
    <t>Notes only due to multiple attribute needed for capacity</t>
  </si>
  <si>
    <t>WP6 Title</t>
  </si>
  <si>
    <t>data owner</t>
  </si>
  <si>
    <t>data provider</t>
  </si>
  <si>
    <t>data source</t>
  </si>
  <si>
    <t>data source description (references)</t>
  </si>
  <si>
    <t>data user</t>
  </si>
  <si>
    <t>usage purpose</t>
  </si>
  <si>
    <t>technology/process</t>
  </si>
  <si>
    <t>technology/process description</t>
  </si>
  <si>
    <t>Geography</t>
  </si>
  <si>
    <t>year of data</t>
  </si>
  <si>
    <t>Technology Start Year</t>
  </si>
  <si>
    <t>technology lifetime (years)</t>
  </si>
  <si>
    <t>ef</t>
  </si>
  <si>
    <t>ef ref unit</t>
  </si>
  <si>
    <t>base currency (numerator)</t>
  </si>
  <si>
    <t>capex</t>
  </si>
  <si>
    <t>capex ref unit (denominator)</t>
  </si>
  <si>
    <t>fixed opex</t>
  </si>
  <si>
    <t>fixed opex ref unit (denominator)</t>
  </si>
  <si>
    <t>variable opex</t>
  </si>
  <si>
    <t>variable opex ref unit (denominator)</t>
  </si>
  <si>
    <t>efficiency</t>
  </si>
  <si>
    <t>commodity share</t>
  </si>
  <si>
    <t>commodity
(hydrogen share, % co2 capture)</t>
  </si>
  <si>
    <t>heat rate</t>
  </si>
  <si>
    <t>capacity</t>
  </si>
  <si>
    <t>capacity type (fixed or upper)</t>
  </si>
  <si>
    <t>WP1 Ref</t>
  </si>
  <si>
    <t>WP2 Ref</t>
  </si>
  <si>
    <t>-</t>
  </si>
  <si>
    <t>Model Run Name</t>
  </si>
  <si>
    <t>Asset Name</t>
  </si>
  <si>
    <t>Asset Description</t>
  </si>
  <si>
    <t>Country</t>
  </si>
  <si>
    <t>Year</t>
  </si>
  <si>
    <t>Technology Lifetime</t>
  </si>
  <si>
    <t>Emissions Factors</t>
  </si>
  <si>
    <t>CAPEX</t>
  </si>
  <si>
    <t>OPEX</t>
  </si>
  <si>
    <t>WP1 Specific Tech Descriptors</t>
  </si>
  <si>
    <t>WP1 Constraints</t>
  </si>
  <si>
    <t>max import possible</t>
  </si>
  <si>
    <t>max solar output allowed</t>
  </si>
  <si>
    <t>WP3 Ref</t>
  </si>
  <si>
    <t>WP4 Ref</t>
  </si>
  <si>
    <t>WP5 Ref</t>
  </si>
  <si>
    <t>SG-TIMES</t>
  </si>
  <si>
    <t>GMIT/GREF Model</t>
  </si>
  <si>
    <t>Process</t>
  </si>
  <si>
    <t>Process Description</t>
  </si>
  <si>
    <t>Region</t>
  </si>
  <si>
    <t>NCAP_START: Val_field</t>
  </si>
  <si>
    <t>NCAP_TLIFE (Years): Val_field</t>
  </si>
  <si>
    <t>VDA_EMCB (ktco2e)</t>
  </si>
  <si>
    <t>PJ</t>
  </si>
  <si>
    <t>Currency</t>
  </si>
  <si>
    <t>NCAP_COST (M$): Val_field</t>
  </si>
  <si>
    <t>NCAP_COST: Capacity unit
GW; Pja; kW</t>
  </si>
  <si>
    <t>NCAP_FOM (M$): Val_field;</t>
  </si>
  <si>
    <t>NCAP_COST: Capacity unit
GW; Pja; kW-yr</t>
  </si>
  <si>
    <t xml:space="preserve">
ACT_COST (M$): Val_field;
IRE_PRICE (M$): Val_field</t>
  </si>
  <si>
    <t>ACT_COST: Activity unit;
IRE_PRICE: Activity unit
PJ; MWh</t>
  </si>
  <si>
    <t>ACT_EFF</t>
  </si>
  <si>
    <t>FLO_SHARE</t>
  </si>
  <si>
    <t>Commodity</t>
  </si>
  <si>
    <t>see table on the right</t>
  </si>
  <si>
    <t xml:space="preserve">ACT_BND (in PJ) for electricity imports;
SG_TIMES don’t have
fossil fuels imports;
UC_RHSRT (in GW) for hydrogen imports </t>
  </si>
  <si>
    <t>UC_RHSRT (GW)</t>
  </si>
  <si>
    <t>UC_RHSRT 
bmc plant, cogen plant, solar, hydrogen;</t>
  </si>
  <si>
    <t>EMA/NREL</t>
  </si>
  <si>
    <t>[EMA] Earliest Build Year</t>
  </si>
  <si>
    <t>Build Cost (S$)</t>
  </si>
  <si>
    <t>FO&amp;M Charge (S$)</t>
  </si>
  <si>
    <t>VO&amp;M (S$)</t>
  </si>
  <si>
    <t>EMA NREL</t>
  </si>
  <si>
    <t>Power</t>
  </si>
  <si>
    <t>ESI</t>
  </si>
  <si>
    <t>WP1</t>
  </si>
  <si>
    <t>GREF</t>
  </si>
  <si>
    <t>SG GREF v8.14; VT_SG_PWR_GREF</t>
  </si>
  <si>
    <t>PWRNGACCF01</t>
  </si>
  <si>
    <t>Natural gas-fired combined cycle plant F class </t>
  </si>
  <si>
    <t>SG</t>
  </si>
  <si>
    <t>MSGD2016</t>
  </si>
  <si>
    <t>GW</t>
  </si>
  <si>
    <t>GW*yr(2018)</t>
  </si>
  <si>
    <t>PJ (2018)</t>
  </si>
  <si>
    <t>PWRNGA</t>
  </si>
  <si>
    <t>AFA</t>
  </si>
  <si>
    <t>capacity to activity factor</t>
  </si>
  <si>
    <t>UP</t>
  </si>
  <si>
    <t>FX</t>
  </si>
  <si>
    <t>by energy use</t>
  </si>
  <si>
    <t>Scenario analysis</t>
  </si>
  <si>
    <t>Interpolation rule</t>
  </si>
  <si>
    <t>capacity constraint</t>
  </si>
  <si>
    <t>SG GREF v8.14; VT_SG_IND_GREF</t>
  </si>
  <si>
    <t>IRFELECAE00</t>
  </si>
  <si>
    <t>Refinery Compressed Air System Standard Electricity</t>
  </si>
  <si>
    <t>Industry</t>
  </si>
  <si>
    <t>PJ*yr(2018)</t>
  </si>
  <si>
    <t>IRFELE</t>
  </si>
  <si>
    <t>NA</t>
  </si>
  <si>
    <t>Commodity Demand</t>
  </si>
  <si>
    <t>ktoe</t>
  </si>
  <si>
    <t>Primary</t>
  </si>
  <si>
    <t>SG GREF v8.14; VT_SG_PRI_GREF</t>
  </si>
  <si>
    <t>IMPCOA00</t>
  </si>
  <si>
    <t>Import Coal Standard</t>
  </si>
  <si>
    <r>
      <t>VO&amp;M/</t>
    </r>
    <r>
      <rPr>
        <i/>
        <sz val="11"/>
        <color rgb="FFFF0000"/>
        <rFont val="Aptos Narrow"/>
        <family val="2"/>
        <scheme val="minor"/>
      </rPr>
      <t xml:space="preserve">Resource cost </t>
    </r>
    <r>
      <rPr>
        <i/>
        <sz val="11"/>
        <color theme="1"/>
        <rFont val="Aptos Narrow"/>
        <family val="2"/>
        <scheme val="minor"/>
      </rPr>
      <t>(S$)</t>
    </r>
  </si>
  <si>
    <t>COA</t>
  </si>
  <si>
    <t>Existing capacity (PJ)</t>
  </si>
  <si>
    <t>SG GREF v8.14; VT_SG_TRN_GREF</t>
  </si>
  <si>
    <t>TRPGSLCAR00</t>
  </si>
  <si>
    <t>Transport Person Gasoline Car (No FC improvement)</t>
  </si>
  <si>
    <t>13.33 km/litre</t>
  </si>
  <si>
    <t>TRPGSL</t>
  </si>
  <si>
    <t>technology efficiency</t>
  </si>
  <si>
    <t>Tax cost</t>
  </si>
  <si>
    <t>Sub cost</t>
  </si>
  <si>
    <t>Transportation</t>
  </si>
  <si>
    <t>Water</t>
  </si>
  <si>
    <t>SG GREF v8.14; VT_SG_WAT_GREF</t>
  </si>
  <si>
    <t>WATELEDSA00</t>
  </si>
  <si>
    <t>Desalination standard</t>
  </si>
  <si>
    <t>PJ*yr</t>
  </si>
  <si>
    <t>4.1 kWh/m3</t>
  </si>
  <si>
    <t>ELE</t>
  </si>
  <si>
    <t>GWh</t>
  </si>
  <si>
    <t>Waste</t>
  </si>
  <si>
    <t>WSTELESOR00</t>
  </si>
  <si>
    <t>SG GREF v8.14; VT_SG_WST_GREF</t>
  </si>
  <si>
    <t>Waste Sorting Facilities Electricity Standard</t>
  </si>
  <si>
    <t>25 kWh/tone</t>
  </si>
  <si>
    <t>Building</t>
  </si>
  <si>
    <t>SG GREF v8.14; VT_SG_BLD_GREF</t>
  </si>
  <si>
    <t>BDEELEACC00</t>
  </si>
  <si>
    <t>Commercial A/C Chiller System Gold</t>
  </si>
  <si>
    <t>COP: 3.91</t>
  </si>
  <si>
    <t>Household</t>
  </si>
  <si>
    <t>SG GREF v8.14; VT_SG_HHD_GREF</t>
  </si>
  <si>
    <r>
      <t>VO&amp;M/</t>
    </r>
    <r>
      <rPr>
        <i/>
        <sz val="11"/>
        <color rgb="FFFF0000"/>
        <rFont val="Aptos Narrow"/>
        <family val="2"/>
        <scheme val="minor"/>
      </rPr>
      <t xml:space="preserve">Resource import cost </t>
    </r>
    <r>
      <rPr>
        <i/>
        <sz val="11"/>
        <color theme="1"/>
        <rFont val="Aptos Narrow"/>
        <family val="2"/>
        <scheme val="minor"/>
      </rPr>
      <t>(S$)</t>
    </r>
  </si>
  <si>
    <t>HHDELERFG90</t>
  </si>
  <si>
    <t>Residential Refrigerators 4 ticks (NEA Classification)</t>
  </si>
  <si>
    <t>Grade</t>
  </si>
  <si>
    <t>0.57 kWh/L</t>
  </si>
  <si>
    <t>AFVELEACC00</t>
  </si>
  <si>
    <t>Agrifood A/C Unitary Systems Standard</t>
  </si>
  <si>
    <t>IFEELEACC00</t>
  </si>
  <si>
    <t>EDC HVAC Stardard</t>
  </si>
  <si>
    <t>SG GREF v8.14; VT_SG_IFC_GREF</t>
  </si>
  <si>
    <t>SG GREF v8.14; VT_SG_AGR_GREF</t>
  </si>
  <si>
    <r>
      <t>VO&amp;M/</t>
    </r>
    <r>
      <rPr>
        <i/>
        <sz val="11"/>
        <color rgb="FFFF0000"/>
        <rFont val="Aptos Narrow"/>
        <family val="2"/>
        <scheme val="minor"/>
      </rPr>
      <t>Resource cost /import cost</t>
    </r>
    <r>
      <rPr>
        <i/>
        <sz val="11"/>
        <color theme="1"/>
        <rFont val="Aptos Narrow"/>
        <family val="2"/>
        <scheme val="minor"/>
      </rPr>
      <t>(S$)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</si>
</sst>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10" borderId="1" xfId="0" applyFont="1" applyFill="1" applyBorder="1" applyAlignment="1">
      <alignment wrapText="1"/>
    </xf>
    <xf numFmtId="0" fontId="5" fillId="0" borderId="0" xfId="0" applyFont="1"/>
    <xf numFmtId="0" fontId="3" fillId="10" borderId="6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5" borderId="6" xfId="0" applyFill="1" applyBorder="1"/>
    <xf numFmtId="0" fontId="0" fillId="3" borderId="1" xfId="0" applyFill="1" applyBorder="1" applyAlignment="1">
      <alignment wrapText="1"/>
    </xf>
    <xf numFmtId="0" fontId="5" fillId="5" borderId="5" xfId="0" applyFont="1" applyFill="1" applyBorder="1"/>
    <xf numFmtId="0" fontId="3" fillId="11" borderId="6" xfId="0" applyFont="1" applyFill="1" applyBorder="1" applyAlignment="1">
      <alignment wrapText="1"/>
    </xf>
    <xf numFmtId="0" fontId="4" fillId="11" borderId="1" xfId="0" applyFont="1" applyFill="1" applyBorder="1"/>
    <xf numFmtId="0" fontId="0" fillId="0" borderId="5" xfId="0" applyBorder="1" applyAlignment="1">
      <alignment horizontal="center"/>
    </xf>
    <xf numFmtId="0" fontId="4" fillId="11" borderId="4" xfId="0" applyFont="1" applyFill="1" applyBorder="1"/>
    <xf numFmtId="0" fontId="4" fillId="11" borderId="5" xfId="0" applyFont="1" applyFill="1" applyBorder="1"/>
    <xf numFmtId="0" fontId="0" fillId="0" borderId="0" xfId="0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4" fillId="11" borderId="2" xfId="0" applyFont="1" applyFill="1" applyBorder="1"/>
    <xf numFmtId="0" fontId="0" fillId="5" borderId="9" xfId="0" applyFill="1" applyBorder="1"/>
    <xf numFmtId="0" fontId="9" fillId="10" borderId="1" xfId="0" applyFont="1" applyFill="1" applyBorder="1" applyAlignment="1">
      <alignment wrapText="1"/>
    </xf>
    <xf numFmtId="0" fontId="0" fillId="12" borderId="0" xfId="0" applyFill="1"/>
    <xf numFmtId="0" fontId="0" fillId="5" borderId="0" xfId="0" applyFill="1"/>
    <xf numFmtId="0" fontId="0" fillId="9" borderId="0" xfId="0" applyFill="1"/>
    <xf numFmtId="0" fontId="2" fillId="8" borderId="1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3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10" borderId="1" xfId="0" applyFont="1" applyFill="1" applyBorder="1" applyAlignment="1">
      <alignment horizontal="center" wrapText="1"/>
    </xf>
    <xf numFmtId="0" fontId="3" fillId="10" borderId="2" xfId="0" applyFont="1" applyFill="1" applyBorder="1" applyAlignment="1">
      <alignment horizontal="center" wrapText="1"/>
    </xf>
    <xf numFmtId="0" fontId="3" fillId="10" borderId="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1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Working/LCA/CE2M/WP1%20Data/SG-TIMES/SG_GREF_v8.14/VT_SG_PRI_GREF.xlsx" TargetMode="External"/><Relationship Id="rId1" Type="http://schemas.openxmlformats.org/officeDocument/2006/relationships/externalLinkPath" Target="file:///C:/Working/LCA/CE2M/WP1%20Data/SG-TIMES/SG_GREF_v8.14/VT_SG_PRI_GR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"/>
      <sheetName val="Coef"/>
      <sheetName val="Data_BY"/>
      <sheetName val="Commodities"/>
      <sheetName val="Import"/>
      <sheetName val="Mining"/>
    </sheetNames>
    <sheetDataSet>
      <sheetData sheetId="0"/>
      <sheetData sheetId="1"/>
      <sheetData sheetId="2">
        <row r="2">
          <cell r="B2" t="str">
            <v>NGA</v>
          </cell>
          <cell r="E2">
            <v>22.326907459867794</v>
          </cell>
          <cell r="F2">
            <v>30.382403210576012</v>
          </cell>
          <cell r="G2">
            <v>31.628347497639275</v>
          </cell>
          <cell r="H2">
            <v>31.293325163175233</v>
          </cell>
          <cell r="I2">
            <v>30.961851542870168</v>
          </cell>
          <cell r="J2">
            <v>30.633889047074412</v>
          </cell>
          <cell r="K2">
            <v>30.477185741037495</v>
          </cell>
          <cell r="L2">
            <v>30.321284028493494</v>
          </cell>
          <cell r="M2">
            <v>30.166179809004817</v>
          </cell>
          <cell r="N2">
            <v>30.011869003109069</v>
          </cell>
          <cell r="O2">
            <v>29.858347552211761</v>
          </cell>
          <cell r="P2">
            <v>29.701602158095497</v>
          </cell>
          <cell r="Q2">
            <v>29.545679619917045</v>
          </cell>
          <cell r="R2">
            <v>29.390575617983966</v>
          </cell>
          <cell r="S2">
            <v>29.23628585528062</v>
          </cell>
          <cell r="T2">
            <v>29.082806057349124</v>
          </cell>
          <cell r="U2">
            <v>28.926016293664233</v>
          </cell>
          <cell r="V2">
            <v>28.770071807080456</v>
          </cell>
          <cell r="W2">
            <v>28.614968040582326</v>
          </cell>
          <cell r="X2">
            <v>28.460700461721935</v>
          </cell>
          <cell r="Y2">
            <v>28.30726456248647</v>
          </cell>
          <cell r="Z2">
            <v>28.30726456248647</v>
          </cell>
          <cell r="AA2">
            <v>28.30726456248647</v>
          </cell>
          <cell r="AB2">
            <v>28.30726456248647</v>
          </cell>
          <cell r="AC2">
            <v>28.30726456248647</v>
          </cell>
          <cell r="AD2">
            <v>28.30726456248647</v>
          </cell>
        </row>
        <row r="3">
          <cell r="B3" t="str">
            <v>RGA</v>
          </cell>
          <cell r="E3">
            <v>6.6403576547675849</v>
          </cell>
          <cell r="F3">
            <v>13.235114603964803</v>
          </cell>
          <cell r="G3">
            <v>10.87281360723744</v>
          </cell>
          <cell r="H3">
            <v>10.751349720053494</v>
          </cell>
          <cell r="I3">
            <v>10.631172435498417</v>
          </cell>
          <cell r="J3">
            <v>10.512268125271964</v>
          </cell>
          <cell r="K3">
            <v>10.455454621431183</v>
          </cell>
          <cell r="L3">
            <v>10.398931738995531</v>
          </cell>
          <cell r="M3">
            <v>10.342697991332511</v>
          </cell>
          <cell r="N3">
            <v>10.286751899414277</v>
          </cell>
          <cell r="O3">
            <v>10.231091991778747</v>
          </cell>
          <cell r="P3">
            <v>10.174263228711354</v>
          </cell>
          <cell r="Q3">
            <v>10.117732795846214</v>
          </cell>
          <cell r="R3">
            <v>10.061499127058974</v>
          </cell>
          <cell r="S3">
            <v>10.005560664446866</v>
          </cell>
          <cell r="T3">
            <v>9.9499158582855394</v>
          </cell>
          <cell r="U3">
            <v>9.8930710088271105</v>
          </cell>
          <cell r="V3">
            <v>9.8365326184667374</v>
          </cell>
          <cell r="W3">
            <v>9.7802990350375207</v>
          </cell>
          <cell r="X3">
            <v>9.7243686152796371</v>
          </cell>
          <cell r="Y3">
            <v>9.6687397247923244</v>
          </cell>
          <cell r="Z3">
            <v>9.6687397247923244</v>
          </cell>
          <cell r="AA3">
            <v>9.6687397247923244</v>
          </cell>
          <cell r="AB3">
            <v>9.6687397247923244</v>
          </cell>
          <cell r="AC3">
            <v>9.6687397247923244</v>
          </cell>
          <cell r="AD3">
            <v>9.6687397247923244</v>
          </cell>
        </row>
        <row r="4">
          <cell r="B4" t="str">
            <v>TGA</v>
          </cell>
          <cell r="E4">
            <v>47.222222222222229</v>
          </cell>
          <cell r="F4">
            <v>58.032770316699249</v>
          </cell>
          <cell r="G4">
            <v>57.35506048110156</v>
          </cell>
          <cell r="H4">
            <v>56.747528701038171</v>
          </cell>
          <cell r="I4">
            <v>56.146432183368198</v>
          </cell>
          <cell r="J4">
            <v>55.551702762765281</v>
          </cell>
          <cell r="K4">
            <v>55.267535921737405</v>
          </cell>
          <cell r="L4">
            <v>54.984822695801867</v>
          </cell>
          <cell r="M4">
            <v>54.703555649197192</v>
          </cell>
          <cell r="N4">
            <v>54.423727384198557</v>
          </cell>
          <cell r="O4">
            <v>54.145330540923112</v>
          </cell>
          <cell r="P4">
            <v>53.861087377085873</v>
          </cell>
          <cell r="Q4">
            <v>53.578336385803148</v>
          </cell>
          <cell r="R4">
            <v>53.29706973371529</v>
          </cell>
          <cell r="S4">
            <v>53.017279628584888</v>
          </cell>
          <cell r="T4">
            <v>52.738958319080972</v>
          </cell>
          <cell r="U4">
            <v>52.454634695166199</v>
          </cell>
          <cell r="V4">
            <v>52.171843902495965</v>
          </cell>
          <cell r="W4">
            <v>51.890577677347437</v>
          </cell>
          <cell r="X4">
            <v>51.610827800548748</v>
          </cell>
          <cell r="Y4">
            <v>51.332586097238796</v>
          </cell>
          <cell r="Z4">
            <v>51.332586097238796</v>
          </cell>
          <cell r="AA4">
            <v>51.332586097238796</v>
          </cell>
          <cell r="AB4">
            <v>51.332586097238796</v>
          </cell>
          <cell r="AC4">
            <v>51.332586097238796</v>
          </cell>
          <cell r="AD4">
            <v>51.332586097238796</v>
          </cell>
        </row>
        <row r="5">
          <cell r="B5" t="str">
            <v>LPG</v>
          </cell>
          <cell r="E5">
            <v>44.155057540884314</v>
          </cell>
          <cell r="F5">
            <v>55.602665051483953</v>
          </cell>
          <cell r="G5">
            <v>60.508782556026652</v>
          </cell>
          <cell r="H5">
            <v>59.867845068255285</v>
          </cell>
          <cell r="I5">
            <v>59.233696691847221</v>
          </cell>
          <cell r="J5">
            <v>58.606265513341334</v>
          </cell>
          <cell r="K5">
            <v>58.306473490646958</v>
          </cell>
          <cell r="L5">
            <v>58.008215011441209</v>
          </cell>
          <cell r="M5">
            <v>57.711482231100312</v>
          </cell>
          <cell r="N5">
            <v>57.416267345128539</v>
          </cell>
          <cell r="O5">
            <v>57.122562588952938</v>
          </cell>
          <cell r="P5">
            <v>56.822690046767562</v>
          </cell>
          <cell r="Q5">
            <v>56.524391725651419</v>
          </cell>
          <cell r="R5">
            <v>56.22765936152021</v>
          </cell>
          <cell r="S5">
            <v>55.932484733673</v>
          </cell>
          <cell r="T5">
            <v>55.638859664564578</v>
          </cell>
          <cell r="U5">
            <v>55.338902238128426</v>
          </cell>
          <cell r="V5">
            <v>55.040561927107966</v>
          </cell>
          <cell r="W5">
            <v>54.743830013391751</v>
          </cell>
          <cell r="X5">
            <v>54.448697825868997</v>
          </cell>
          <cell r="Y5">
            <v>54.155156740176182</v>
          </cell>
          <cell r="Z5">
            <v>54.155156740176182</v>
          </cell>
          <cell r="AA5">
            <v>54.155156740176182</v>
          </cell>
          <cell r="AB5">
            <v>54.155156740176182</v>
          </cell>
          <cell r="AC5">
            <v>54.155156740176182</v>
          </cell>
          <cell r="AD5">
            <v>54.155156740176182</v>
          </cell>
        </row>
        <row r="6">
          <cell r="B6" t="str">
            <v>OIL</v>
          </cell>
          <cell r="E6">
            <v>10.63728291332543</v>
          </cell>
          <cell r="F6">
            <v>22.253995513053638</v>
          </cell>
          <cell r="G6">
            <v>20.01773193282596</v>
          </cell>
          <cell r="H6">
            <v>19.80569469998251</v>
          </cell>
          <cell r="I6">
            <v>19.59590346525027</v>
          </cell>
          <cell r="J6">
            <v>19.388334437960744</v>
          </cell>
          <cell r="K6">
            <v>19.289156168420465</v>
          </cell>
          <cell r="L6">
            <v>19.190485231223789</v>
          </cell>
          <cell r="M6">
            <v>19.092319031184207</v>
          </cell>
          <cell r="N6">
            <v>18.994654986390529</v>
          </cell>
          <cell r="O6">
            <v>18.897490528138949</v>
          </cell>
          <cell r="P6">
            <v>18.798285620852575</v>
          </cell>
          <cell r="Q6">
            <v>18.699601503012556</v>
          </cell>
          <cell r="R6">
            <v>18.601435440664954</v>
          </cell>
          <cell r="S6">
            <v>18.503784714208081</v>
          </cell>
          <cell r="T6">
            <v>18.406646618317165</v>
          </cell>
          <cell r="U6">
            <v>18.307413629319257</v>
          </cell>
          <cell r="V6">
            <v>18.208715620228862</v>
          </cell>
          <cell r="W6">
            <v>18.110549706889159</v>
          </cell>
          <cell r="X6">
            <v>18.012913020692263</v>
          </cell>
          <cell r="Y6">
            <v>17.91580270849537</v>
          </cell>
          <cell r="Z6">
            <v>17.91580270849537</v>
          </cell>
          <cell r="AA6">
            <v>17.91580270849537</v>
          </cell>
          <cell r="AB6">
            <v>17.91580270849537</v>
          </cell>
          <cell r="AC6">
            <v>17.91580270849537</v>
          </cell>
          <cell r="AD6">
            <v>17.91580270849537</v>
          </cell>
        </row>
        <row r="7">
          <cell r="B7" t="str">
            <v>GSL</v>
          </cell>
          <cell r="E7">
            <v>65.419326319823782</v>
          </cell>
          <cell r="F7">
            <v>90.029453840138444</v>
          </cell>
          <cell r="G7">
            <v>85.979686020339827</v>
          </cell>
          <cell r="H7">
            <v>85.068948741727056</v>
          </cell>
          <cell r="I7">
            <v>84.167858420774238</v>
          </cell>
          <cell r="J7">
            <v>83.276312872367996</v>
          </cell>
          <cell r="K7">
            <v>82.850324728270095</v>
          </cell>
          <cell r="L7">
            <v>82.426515665986102</v>
          </cell>
          <cell r="M7">
            <v>82.004874538732736</v>
          </cell>
          <cell r="N7">
            <v>81.585390256746365</v>
          </cell>
          <cell r="O7">
            <v>81.168051786991583</v>
          </cell>
          <cell r="P7">
            <v>80.741949229080291</v>
          </cell>
          <cell r="Q7">
            <v>80.318083553610592</v>
          </cell>
          <cell r="R7">
            <v>79.896443017768505</v>
          </cell>
          <cell r="S7">
            <v>79.477015940385584</v>
          </cell>
          <cell r="T7">
            <v>79.059790701615213</v>
          </cell>
          <cell r="U7">
            <v>78.633567527804558</v>
          </cell>
          <cell r="V7">
            <v>78.209642186966661</v>
          </cell>
          <cell r="W7">
            <v>77.788002291139762</v>
          </cell>
          <cell r="X7">
            <v>77.368635519147489</v>
          </cell>
          <cell r="Y7">
            <v>76.951529616238773</v>
          </cell>
          <cell r="Z7">
            <v>76.951529616238773</v>
          </cell>
          <cell r="AA7">
            <v>76.951529616238773</v>
          </cell>
          <cell r="AB7">
            <v>76.951529616238773</v>
          </cell>
          <cell r="AC7">
            <v>76.951529616238773</v>
          </cell>
          <cell r="AD7">
            <v>76.951529616238773</v>
          </cell>
        </row>
        <row r="8">
          <cell r="B8" t="str">
            <v>HFO</v>
          </cell>
          <cell r="E8">
            <v>13.28071530953517</v>
          </cell>
          <cell r="F8">
            <v>26.470229207929606</v>
          </cell>
          <cell r="G8">
            <v>21.745627214474879</v>
          </cell>
          <cell r="H8">
            <v>21.502699440106987</v>
          </cell>
          <cell r="I8">
            <v>21.262344870996834</v>
          </cell>
          <cell r="J8">
            <v>21.024536250543928</v>
          </cell>
          <cell r="K8">
            <v>20.910909242862367</v>
          </cell>
          <cell r="L8">
            <v>20.797863477991061</v>
          </cell>
          <cell r="M8">
            <v>20.685395982665021</v>
          </cell>
          <cell r="N8">
            <v>20.573503798828554</v>
          </cell>
          <cell r="O8">
            <v>20.462183983557495</v>
          </cell>
          <cell r="P8">
            <v>20.348526457422707</v>
          </cell>
          <cell r="Q8">
            <v>20.235465591692428</v>
          </cell>
          <cell r="R8">
            <v>20.122998254117949</v>
          </cell>
          <cell r="S8">
            <v>20.011121328893733</v>
          </cell>
          <cell r="T8">
            <v>19.899831716571079</v>
          </cell>
          <cell r="U8">
            <v>19.786142017654221</v>
          </cell>
          <cell r="V8">
            <v>19.673065236933475</v>
          </cell>
          <cell r="W8">
            <v>19.560598070075041</v>
          </cell>
          <cell r="X8">
            <v>19.448737230559274</v>
          </cell>
          <cell r="Y8">
            <v>19.337479449584649</v>
          </cell>
          <cell r="Z8">
            <v>19.337479449584649</v>
          </cell>
          <cell r="AA8">
            <v>19.337479449584649</v>
          </cell>
          <cell r="AB8">
            <v>19.337479449584649</v>
          </cell>
          <cell r="AC8">
            <v>19.337479449584649</v>
          </cell>
          <cell r="AD8">
            <v>19.337479449584649</v>
          </cell>
        </row>
        <row r="9">
          <cell r="B9" t="str">
            <v>DSL</v>
          </cell>
          <cell r="E9">
            <v>41.060677720850293</v>
          </cell>
          <cell r="F9">
            <v>78.490139044618601</v>
          </cell>
          <cell r="G9">
            <v>65.082570809238916</v>
          </cell>
          <cell r="H9">
            <v>64.393185604809275</v>
          </cell>
          <cell r="I9">
            <v>63.711102692747239</v>
          </cell>
          <cell r="J9">
            <v>63.03624472373717</v>
          </cell>
          <cell r="K9">
            <v>62.713791771936549</v>
          </cell>
          <cell r="L9">
            <v>62.392988282387073</v>
          </cell>
          <cell r="M9">
            <v>62.073825817498985</v>
          </cell>
          <cell r="N9">
            <v>61.756295982843831</v>
          </cell>
          <cell r="O9">
            <v>61.440390426933675</v>
          </cell>
          <cell r="P9">
            <v>61.117850869267713</v>
          </cell>
          <cell r="Q9">
            <v>60.79700452620434</v>
          </cell>
          <cell r="R9">
            <v>60.47784250898674</v>
          </cell>
          <cell r="S9">
            <v>60.160355975520822</v>
          </cell>
          <cell r="T9">
            <v>59.844536130130223</v>
          </cell>
          <cell r="U9">
            <v>59.521905271912068</v>
          </cell>
          <cell r="V9">
            <v>59.201013764976501</v>
          </cell>
          <cell r="W9">
            <v>58.88185223222024</v>
          </cell>
          <cell r="X9">
            <v>58.564411347093355</v>
          </cell>
          <cell r="Y9">
            <v>58.248681833326735</v>
          </cell>
          <cell r="Z9">
            <v>58.248681833326735</v>
          </cell>
          <cell r="AA9">
            <v>58.248681833326735</v>
          </cell>
          <cell r="AB9">
            <v>58.248681833326735</v>
          </cell>
          <cell r="AC9">
            <v>58.248681833326735</v>
          </cell>
          <cell r="AD9">
            <v>58.248681833326735</v>
          </cell>
        </row>
        <row r="10">
          <cell r="B10" t="str">
            <v>COA</v>
          </cell>
          <cell r="E10">
            <v>2.8621688572247468</v>
          </cell>
          <cell r="F10">
            <v>5.9184188137226785</v>
          </cell>
          <cell r="G10">
            <v>5.2034954113767284</v>
          </cell>
          <cell r="H10">
            <v>4.5749321479984388</v>
          </cell>
          <cell r="I10">
            <v>4.0222970338417197</v>
          </cell>
          <cell r="J10">
            <v>3.5364182254659782</v>
          </cell>
          <cell r="K10">
            <v>3.444735810793548</v>
          </cell>
          <cell r="L10">
            <v>3.3554302827403641</v>
          </cell>
          <cell r="M10">
            <v>3.2684400200018286</v>
          </cell>
          <cell r="N10">
            <v>3.1837049988191213</v>
          </cell>
          <cell r="O10">
            <v>3.1011667515624746</v>
          </cell>
          <cell r="P10">
            <v>3.063254681733703</v>
          </cell>
          <cell r="Q10">
            <v>3.025806090703024</v>
          </cell>
          <cell r="R10">
            <v>2.9888153123963561</v>
          </cell>
          <cell r="S10">
            <v>2.9522767500079312</v>
          </cell>
          <cell r="T10">
            <v>2.9161848751534856</v>
          </cell>
          <cell r="U10">
            <v>2.8782123917292162</v>
          </cell>
          <cell r="V10">
            <v>2.8407343589516425</v>
          </cell>
          <cell r="W10">
            <v>2.803744338436442</v>
          </cell>
          <cell r="X10">
            <v>2.767235975635348</v>
          </cell>
          <cell r="Y10">
            <v>2.7312029987444961</v>
          </cell>
          <cell r="Z10">
            <v>2.7312029987444961</v>
          </cell>
          <cell r="AA10">
            <v>2.7312029987444961</v>
          </cell>
          <cell r="AB10">
            <v>2.7312029987444961</v>
          </cell>
          <cell r="AC10">
            <v>2.7312029987444961</v>
          </cell>
          <cell r="AD10">
            <v>2.7312029987444961</v>
          </cell>
        </row>
        <row r="11">
          <cell r="B11" t="str">
            <v>PCK</v>
          </cell>
          <cell r="E11">
            <v>3.005277300085984</v>
          </cell>
          <cell r="F11">
            <v>6.2143397544088126</v>
          </cell>
          <cell r="G11">
            <v>5.4636701819455649</v>
          </cell>
          <cell r="H11">
            <v>4.8036787553983613</v>
          </cell>
          <cell r="I11">
            <v>4.2234118855338059</v>
          </cell>
          <cell r="J11">
            <v>3.7132391367392774</v>
          </cell>
          <cell r="K11">
            <v>3.6169726013332255</v>
          </cell>
          <cell r="L11">
            <v>3.5232017968773826</v>
          </cell>
          <cell r="M11">
            <v>3.4318620210019204</v>
          </cell>
          <cell r="N11">
            <v>3.3428902487600776</v>
          </cell>
          <cell r="O11">
            <v>3.2562250891405986</v>
          </cell>
          <cell r="P11">
            <v>3.2164174158203882</v>
          </cell>
          <cell r="Q11">
            <v>3.1770963952381752</v>
          </cell>
          <cell r="R11">
            <v>3.1382560780161741</v>
          </cell>
          <cell r="S11">
            <v>3.099890587508328</v>
          </cell>
          <cell r="T11">
            <v>3.0619941189111599</v>
          </cell>
          <cell r="U11">
            <v>3.022123011315677</v>
          </cell>
          <cell r="V11">
            <v>2.9827710768992248</v>
          </cell>
          <cell r="W11">
            <v>2.9439315553582643</v>
          </cell>
          <cell r="X11">
            <v>2.9055977744171155</v>
          </cell>
          <cell r="Y11">
            <v>2.8677631486817212</v>
          </cell>
          <cell r="Z11">
            <v>2.8677631486817212</v>
          </cell>
          <cell r="AA11">
            <v>2.8677631486817212</v>
          </cell>
          <cell r="AB11">
            <v>2.8677631486817212</v>
          </cell>
          <cell r="AC11">
            <v>2.8677631486817212</v>
          </cell>
          <cell r="AD11">
            <v>2.8677631486817212</v>
          </cell>
        </row>
        <row r="12">
          <cell r="B12" t="str">
            <v>BMS</v>
          </cell>
          <cell r="E12">
            <v>13.32847643827696</v>
          </cell>
          <cell r="F12">
            <v>13.370494362532524</v>
          </cell>
          <cell r="G12">
            <v>13.41251228678809</v>
          </cell>
          <cell r="H12">
            <v>13.454530211043654</v>
          </cell>
          <cell r="I12">
            <v>13.49654813529922</v>
          </cell>
          <cell r="J12">
            <v>13.538566059554785</v>
          </cell>
          <cell r="K12">
            <v>13.430101185313674</v>
          </cell>
          <cell r="L12">
            <v>13.321636311072565</v>
          </cell>
          <cell r="M12">
            <v>13.213171436831455</v>
          </cell>
          <cell r="N12">
            <v>13.104706562590346</v>
          </cell>
          <cell r="O12">
            <v>12.996241688349237</v>
          </cell>
          <cell r="P12">
            <v>12.996241688349237</v>
          </cell>
          <cell r="Q12">
            <v>12.996241688349237</v>
          </cell>
          <cell r="R12">
            <v>12.996241688349237</v>
          </cell>
          <cell r="S12">
            <v>12.996241688349237</v>
          </cell>
          <cell r="T12">
            <v>12.996241688349237</v>
          </cell>
          <cell r="U12">
            <v>12.996241688349237</v>
          </cell>
          <cell r="V12">
            <v>12.996241688349237</v>
          </cell>
          <cell r="W12">
            <v>12.996241688349237</v>
          </cell>
          <cell r="X12">
            <v>12.996241688349237</v>
          </cell>
          <cell r="Y12">
            <v>12.996241688349237</v>
          </cell>
          <cell r="Z12">
            <v>12.996241688349237</v>
          </cell>
          <cell r="AA12">
            <v>12.996241688349237</v>
          </cell>
          <cell r="AB12">
            <v>12.996241688349237</v>
          </cell>
          <cell r="AC12">
            <v>12.996241688349237</v>
          </cell>
          <cell r="AD12">
            <v>12.996241688349237</v>
          </cell>
        </row>
        <row r="13">
          <cell r="B13" t="str">
            <v>BDS</v>
          </cell>
          <cell r="E13">
            <v>41.060677720850293</v>
          </cell>
          <cell r="F13">
            <v>78.490139044618601</v>
          </cell>
          <cell r="G13">
            <v>65.082570809238916</v>
          </cell>
          <cell r="H13">
            <v>64.393185604809275</v>
          </cell>
          <cell r="I13">
            <v>63.711102692747239</v>
          </cell>
          <cell r="J13">
            <v>63.03624472373717</v>
          </cell>
          <cell r="K13">
            <v>62.713791771936549</v>
          </cell>
          <cell r="L13">
            <v>62.392988282387073</v>
          </cell>
          <cell r="M13">
            <v>62.073825817498985</v>
          </cell>
          <cell r="N13">
            <v>61.756295982843831</v>
          </cell>
          <cell r="O13">
            <v>61.440390426933675</v>
          </cell>
          <cell r="P13">
            <v>61.117850869267713</v>
          </cell>
          <cell r="Q13">
            <v>60.79700452620434</v>
          </cell>
          <cell r="R13">
            <v>60.47784250898674</v>
          </cell>
          <cell r="S13">
            <v>60.160355975520822</v>
          </cell>
          <cell r="T13">
            <v>59.844536130130223</v>
          </cell>
          <cell r="U13">
            <v>59.521905271912068</v>
          </cell>
          <cell r="V13">
            <v>59.201013764976501</v>
          </cell>
          <cell r="W13">
            <v>58.88185223222024</v>
          </cell>
          <cell r="X13">
            <v>58.564411347093355</v>
          </cell>
          <cell r="Y13">
            <v>58.248681833326735</v>
          </cell>
          <cell r="Z13">
            <v>58.248681833326735</v>
          </cell>
          <cell r="AA13">
            <v>58.248681833326735</v>
          </cell>
          <cell r="AB13">
            <v>58.248681833326735</v>
          </cell>
          <cell r="AC13">
            <v>58.248681833326735</v>
          </cell>
          <cell r="AD13">
            <v>58.248681833326735</v>
          </cell>
        </row>
        <row r="14">
          <cell r="B14" t="str">
            <v>BEN</v>
          </cell>
          <cell r="E14">
            <v>49.06449473986784</v>
          </cell>
          <cell r="F14">
            <v>67.522090380103833</v>
          </cell>
          <cell r="G14">
            <v>64.484764515254867</v>
          </cell>
          <cell r="H14">
            <v>63.801711556295288</v>
          </cell>
          <cell r="I14">
            <v>63.125893815580682</v>
          </cell>
          <cell r="J14">
            <v>62.457234654275993</v>
          </cell>
          <cell r="K14">
            <v>62.137743546202572</v>
          </cell>
          <cell r="L14">
            <v>61.819886749489577</v>
          </cell>
          <cell r="M14">
            <v>61.503655904049552</v>
          </cell>
          <cell r="N14">
            <v>61.189042692559774</v>
          </cell>
          <cell r="O14">
            <v>60.876038840243687</v>
          </cell>
          <cell r="P14">
            <v>60.556461921810218</v>
          </cell>
          <cell r="Q14">
            <v>60.238562665207944</v>
          </cell>
          <cell r="R14">
            <v>59.922332263326382</v>
          </cell>
          <cell r="S14">
            <v>59.607761955289192</v>
          </cell>
          <cell r="T14">
            <v>59.29484302621141</v>
          </cell>
          <cell r="U14">
            <v>58.975175645853419</v>
          </cell>
          <cell r="V14">
            <v>58.657231640224992</v>
          </cell>
          <cell r="W14">
            <v>58.341001718354818</v>
          </cell>
          <cell r="X14">
            <v>58.026476639360617</v>
          </cell>
          <cell r="Y14">
            <v>57.713647212179083</v>
          </cell>
          <cell r="Z14">
            <v>57.713647212179083</v>
          </cell>
          <cell r="AA14">
            <v>57.713647212179083</v>
          </cell>
          <cell r="AB14">
            <v>57.713647212179083</v>
          </cell>
          <cell r="AC14">
            <v>57.713647212179083</v>
          </cell>
          <cell r="AD14">
            <v>57.713647212179083</v>
          </cell>
        </row>
        <row r="15">
          <cell r="B15" t="str">
            <v>URA</v>
          </cell>
          <cell r="E15">
            <v>0.85373489746139286</v>
          </cell>
          <cell r="F15">
            <v>0.85635371616526212</v>
          </cell>
          <cell r="G15">
            <v>0.86028194422106607</v>
          </cell>
          <cell r="H15">
            <v>0.86421017227687003</v>
          </cell>
          <cell r="I15">
            <v>0.86813840033267398</v>
          </cell>
          <cell r="J15">
            <v>0.87206662838847793</v>
          </cell>
          <cell r="K15">
            <v>0.87599485644428188</v>
          </cell>
          <cell r="L15">
            <v>0.87992308450008583</v>
          </cell>
          <cell r="M15">
            <v>0.88516072190782447</v>
          </cell>
          <cell r="N15">
            <v>0.88908894996362842</v>
          </cell>
          <cell r="O15">
            <v>0.89432658737136705</v>
          </cell>
          <cell r="P15">
            <v>0.89825481542717101</v>
          </cell>
          <cell r="Q15">
            <v>0.90349245283490953</v>
          </cell>
          <cell r="R15">
            <v>0.90873009024264806</v>
          </cell>
          <cell r="S15">
            <v>0.9139677276503867</v>
          </cell>
          <cell r="T15">
            <v>0.91920536505812533</v>
          </cell>
          <cell r="U15">
            <v>0.92418112059547708</v>
          </cell>
          <cell r="V15">
            <v>0.9291568761328286</v>
          </cell>
          <cell r="W15">
            <v>0.93413263167018035</v>
          </cell>
          <cell r="X15">
            <v>0.93910838720753187</v>
          </cell>
          <cell r="Y15">
            <v>0.94408414274488361</v>
          </cell>
          <cell r="Z15">
            <v>0.94408414274488361</v>
          </cell>
          <cell r="AA15">
            <v>0.94408414274488361</v>
          </cell>
          <cell r="AB15">
            <v>0.94408414274488361</v>
          </cell>
          <cell r="AC15">
            <v>0.94408414274488361</v>
          </cell>
          <cell r="AD15">
            <v>0.94408414274488361</v>
          </cell>
        </row>
        <row r="16">
          <cell r="B16" t="str">
            <v>HYG</v>
          </cell>
          <cell r="E16">
            <v>65.752160650128403</v>
          </cell>
          <cell r="F16">
            <v>63.172012573984119</v>
          </cell>
          <cell r="G16">
            <v>60.591864497839836</v>
          </cell>
          <cell r="H16">
            <v>58.01171642169556</v>
          </cell>
          <cell r="I16">
            <v>55.431568345551284</v>
          </cell>
          <cell r="J16">
            <v>52.851420269407001</v>
          </cell>
          <cell r="K16">
            <v>50.532529152382907</v>
          </cell>
          <cell r="L16">
            <v>48.213638035358798</v>
          </cell>
          <cell r="M16">
            <v>46.165144730038747</v>
          </cell>
          <cell r="N16">
            <v>44.387049236422754</v>
          </cell>
          <cell r="O16">
            <v>42.608953742806762</v>
          </cell>
          <cell r="P16">
            <v>40.830858249190769</v>
          </cell>
          <cell r="Q16">
            <v>39.052762755574776</v>
          </cell>
          <cell r="R16">
            <v>37.274667261958776</v>
          </cell>
          <cell r="S16">
            <v>35.496571768342783</v>
          </cell>
          <cell r="T16">
            <v>33.71847627472679</v>
          </cell>
          <cell r="U16">
            <v>33.116447686448097</v>
          </cell>
          <cell r="V16">
            <v>32.514419098169412</v>
          </cell>
          <cell r="W16">
            <v>31.912390509890717</v>
          </cell>
          <cell r="X16">
            <v>31.310361921612031</v>
          </cell>
          <cell r="Y16">
            <v>30.708333333333339</v>
          </cell>
          <cell r="Z16">
            <v>30.708333333333339</v>
          </cell>
          <cell r="AA16">
            <v>30.708333333333339</v>
          </cell>
          <cell r="AB16">
            <v>30.708333333333339</v>
          </cell>
          <cell r="AC16">
            <v>30.708333333333339</v>
          </cell>
          <cell r="AD16">
            <v>30.708333333333339</v>
          </cell>
        </row>
        <row r="17">
          <cell r="E17">
            <v>72.759</v>
          </cell>
          <cell r="F17">
            <v>69.489450000000005</v>
          </cell>
          <cell r="G17">
            <v>66.21990000000001</v>
          </cell>
          <cell r="H17">
            <v>62.95035</v>
          </cell>
          <cell r="I17">
            <v>59.680800000000005</v>
          </cell>
          <cell r="J17">
            <v>56.411250000000003</v>
          </cell>
          <cell r="K17">
            <v>54.615300000000005</v>
          </cell>
          <cell r="L17">
            <v>52.81935</v>
          </cell>
          <cell r="M17">
            <v>51.023400000000002</v>
          </cell>
          <cell r="N17">
            <v>49.227449999999997</v>
          </cell>
          <cell r="O17">
            <v>47.4315</v>
          </cell>
          <cell r="P17">
            <v>46.763775000000003</v>
          </cell>
          <cell r="Q17">
            <v>46.096050000000005</v>
          </cell>
          <cell r="R17">
            <v>45.428325000000001</v>
          </cell>
          <cell r="S17">
            <v>44.760599999999997</v>
          </cell>
          <cell r="T17">
            <v>44.092875000000006</v>
          </cell>
          <cell r="U17">
            <v>43.310025000000003</v>
          </cell>
          <cell r="V17">
            <v>42.527175</v>
          </cell>
          <cell r="W17">
            <v>41.744325000000003</v>
          </cell>
          <cell r="X17">
            <v>40.961475000000007</v>
          </cell>
          <cell r="Y17">
            <v>40.178625000000004</v>
          </cell>
          <cell r="Z17">
            <v>40.178625000000004</v>
          </cell>
          <cell r="AA17">
            <v>40.178625000000004</v>
          </cell>
          <cell r="AB17">
            <v>40.178625000000004</v>
          </cell>
          <cell r="AC17">
            <v>40.178625000000004</v>
          </cell>
          <cell r="AD17">
            <v>40.178625000000004</v>
          </cell>
        </row>
        <row r="18">
          <cell r="E18">
            <v>65.621250000000003</v>
          </cell>
          <cell r="F18">
            <v>60.555749999999996</v>
          </cell>
          <cell r="G18">
            <v>55.490250000000003</v>
          </cell>
          <cell r="H18">
            <v>50.424749999999996</v>
          </cell>
          <cell r="I18">
            <v>45.359250000000003</v>
          </cell>
          <cell r="J18">
            <v>40.293750000000003</v>
          </cell>
          <cell r="K18">
            <v>38.451750000000004</v>
          </cell>
          <cell r="L18">
            <v>36.609750000000005</v>
          </cell>
          <cell r="M18">
            <v>34.767749999999999</v>
          </cell>
          <cell r="N18">
            <v>32.925750000000001</v>
          </cell>
          <cell r="O18">
            <v>31.083750000000002</v>
          </cell>
          <cell r="P18">
            <v>29.702250000000003</v>
          </cell>
          <cell r="Q18">
            <v>28.32075</v>
          </cell>
          <cell r="R18">
            <v>26.939249999999998</v>
          </cell>
          <cell r="S18">
            <v>25.557750000000002</v>
          </cell>
          <cell r="T18">
            <v>24.17625</v>
          </cell>
          <cell r="U18">
            <v>23.554575000000003</v>
          </cell>
          <cell r="V18">
            <v>22.9329</v>
          </cell>
          <cell r="W18">
            <v>22.311225</v>
          </cell>
          <cell r="X18">
            <v>21.689550000000004</v>
          </cell>
          <cell r="Y18">
            <v>21.067875000000001</v>
          </cell>
          <cell r="Z18">
            <v>21.067875000000001</v>
          </cell>
          <cell r="AA18">
            <v>21.067875000000001</v>
          </cell>
          <cell r="AB18">
            <v>21.067875000000001</v>
          </cell>
          <cell r="AC18">
            <v>21.067875000000001</v>
          </cell>
          <cell r="AD18">
            <v>21.067875000000001</v>
          </cell>
        </row>
        <row r="19">
          <cell r="B19" t="str">
            <v>EEE</v>
          </cell>
          <cell r="E19">
            <v>94.44</v>
          </cell>
          <cell r="F19">
            <v>94.44</v>
          </cell>
          <cell r="G19">
            <v>94.44</v>
          </cell>
          <cell r="H19">
            <v>94.44</v>
          </cell>
          <cell r="I19">
            <v>94.44</v>
          </cell>
          <cell r="J19">
            <v>94.44</v>
          </cell>
          <cell r="K19">
            <v>94.44</v>
          </cell>
          <cell r="L19">
            <v>94.44</v>
          </cell>
          <cell r="M19">
            <v>94.44</v>
          </cell>
          <cell r="N19">
            <v>94.44</v>
          </cell>
          <cell r="O19">
            <v>94.44</v>
          </cell>
          <cell r="P19">
            <v>94.44</v>
          </cell>
          <cell r="Q19">
            <v>94.44</v>
          </cell>
          <cell r="R19">
            <v>94.44</v>
          </cell>
          <cell r="S19">
            <v>94.44</v>
          </cell>
          <cell r="T19">
            <v>94.44</v>
          </cell>
          <cell r="U19">
            <v>94.44</v>
          </cell>
          <cell r="V19">
            <v>94.44</v>
          </cell>
          <cell r="W19">
            <v>94.44</v>
          </cell>
          <cell r="X19">
            <v>94.44</v>
          </cell>
          <cell r="Y19">
            <v>94.44</v>
          </cell>
          <cell r="Z19">
            <v>94.44</v>
          </cell>
          <cell r="AA19">
            <v>94.44</v>
          </cell>
          <cell r="AB19">
            <v>94.44</v>
          </cell>
          <cell r="AC19">
            <v>94.44</v>
          </cell>
          <cell r="AD19">
            <v>94.44</v>
          </cell>
        </row>
        <row r="20">
          <cell r="B20" t="str">
            <v>LNG</v>
          </cell>
          <cell r="E20">
            <v>38.454861111111107</v>
          </cell>
          <cell r="F20">
            <v>56.837499999999991</v>
          </cell>
          <cell r="G20">
            <v>57.90069444444444</v>
          </cell>
          <cell r="H20">
            <v>57.253866155841138</v>
          </cell>
          <cell r="I20">
            <v>56.613889376734505</v>
          </cell>
          <cell r="J20">
            <v>55.980691532713116</v>
          </cell>
          <cell r="K20">
            <v>55.678144147552977</v>
          </cell>
          <cell r="L20">
            <v>55.377144400546605</v>
          </cell>
          <cell r="M20">
            <v>55.077684374970957</v>
          </cell>
          <cell r="N20">
            <v>54.779756194599855</v>
          </cell>
          <cell r="O20">
            <v>54.483352023496849</v>
          </cell>
          <cell r="P20">
            <v>54.180723378798042</v>
          </cell>
          <cell r="Q20">
            <v>53.879683423697756</v>
          </cell>
          <cell r="R20">
            <v>53.580223818157123</v>
          </cell>
          <cell r="S20">
            <v>53.282336265919525</v>
          </cell>
          <cell r="T20">
            <v>52.986012514280596</v>
          </cell>
          <cell r="U20">
            <v>52.683298205167269</v>
          </cell>
          <cell r="V20">
            <v>52.382215874237062</v>
          </cell>
          <cell r="W20">
            <v>52.082756723251158</v>
          </cell>
          <cell r="X20">
            <v>51.784912001403342</v>
          </cell>
          <cell r="Y20">
            <v>51.488673005064314</v>
          </cell>
          <cell r="Z20">
            <v>51.488673005064314</v>
          </cell>
          <cell r="AA20">
            <v>51.488673005064314</v>
          </cell>
          <cell r="AB20">
            <v>51.488673005064314</v>
          </cell>
          <cell r="AC20">
            <v>51.488673005064314</v>
          </cell>
          <cell r="AD20">
            <v>51.488673005064314</v>
          </cell>
        </row>
        <row r="21">
          <cell r="B21" t="str">
            <v>CNG</v>
          </cell>
          <cell r="E21">
            <v>41.961503069798319</v>
          </cell>
          <cell r="F21">
            <v>48.736842105263158</v>
          </cell>
          <cell r="G21">
            <v>50.735478933617124</v>
          </cell>
          <cell r="H21">
            <v>50.198064875112799</v>
          </cell>
          <cell r="I21">
            <v>49.666343359112226</v>
          </cell>
          <cell r="J21">
            <v>49.140254087527481</v>
          </cell>
          <cell r="K21">
            <v>48.888884101066516</v>
          </cell>
          <cell r="L21">
            <v>48.638799962049099</v>
          </cell>
          <cell r="M21">
            <v>48.389995092905359</v>
          </cell>
          <cell r="N21">
            <v>48.142462949712048</v>
          </cell>
          <cell r="O21">
            <v>47.896197022020452</v>
          </cell>
          <cell r="P21">
            <v>47.644759521476963</v>
          </cell>
          <cell r="Q21">
            <v>47.394641975765182</v>
          </cell>
          <cell r="R21">
            <v>47.145837455605445</v>
          </cell>
          <cell r="S21">
            <v>46.89833906809428</v>
          </cell>
          <cell r="T21">
            <v>46.652139956513437</v>
          </cell>
          <cell r="U21">
            <v>46.400631282118241</v>
          </cell>
          <cell r="V21">
            <v>46.150478528659484</v>
          </cell>
          <cell r="W21">
            <v>45.901674386164281</v>
          </cell>
          <cell r="X21">
            <v>45.654211584068932</v>
          </cell>
          <cell r="Y21">
            <v>45.408082891006401</v>
          </cell>
          <cell r="Z21">
            <v>45.408082891006401</v>
          </cell>
          <cell r="AA21">
            <v>45.408082891006401</v>
          </cell>
          <cell r="AB21">
            <v>45.408082891006401</v>
          </cell>
          <cell r="AC21">
            <v>45.408082891006401</v>
          </cell>
          <cell r="AD21">
            <v>45.408082891006401</v>
          </cell>
        </row>
        <row r="22">
          <cell r="B22" t="str">
            <v>2MM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3">
          <cell r="B23" t="str">
            <v>3MM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B24" t="str">
            <v>CFO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</row>
        <row r="25">
          <cell r="B25" t="str">
            <v>NCH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B26" t="str">
            <v>NCW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B27" t="str">
            <v>NCC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B28" t="str">
            <v>NCM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B29" t="str">
            <v>NCI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NCV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>NCT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B32" t="str">
            <v>NCA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B33" t="str">
            <v>NCF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</row>
        <row r="34">
          <cell r="B34" t="str">
            <v>AGG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B35" t="str">
            <v>WAG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B36" t="str">
            <v>WSG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B37" t="str">
            <v>LUF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9">
          <cell r="B39" t="str">
            <v>IMP-2</v>
          </cell>
          <cell r="E39">
            <v>94.44</v>
          </cell>
          <cell r="F39">
            <v>94.44</v>
          </cell>
          <cell r="G39">
            <v>94.44</v>
          </cell>
          <cell r="H39">
            <v>94.44</v>
          </cell>
          <cell r="I39">
            <v>94.44</v>
          </cell>
          <cell r="J39">
            <v>94.44</v>
          </cell>
          <cell r="K39">
            <v>94.44</v>
          </cell>
          <cell r="L39">
            <v>94.44</v>
          </cell>
          <cell r="M39">
            <v>94.44</v>
          </cell>
          <cell r="N39">
            <v>94.44</v>
          </cell>
          <cell r="O39">
            <v>94.44</v>
          </cell>
          <cell r="P39">
            <v>94.44</v>
          </cell>
          <cell r="Q39">
            <v>94.44</v>
          </cell>
          <cell r="R39">
            <v>94.44</v>
          </cell>
          <cell r="S39">
            <v>94.44</v>
          </cell>
          <cell r="T39">
            <v>94.44</v>
          </cell>
          <cell r="U39">
            <v>94.44</v>
          </cell>
          <cell r="V39">
            <v>94.44</v>
          </cell>
          <cell r="W39">
            <v>94.44</v>
          </cell>
          <cell r="X39">
            <v>94.44</v>
          </cell>
          <cell r="Y39">
            <v>94.44</v>
          </cell>
          <cell r="Z39">
            <v>94.44</v>
          </cell>
          <cell r="AA39">
            <v>94.44</v>
          </cell>
          <cell r="AB39">
            <v>94.44</v>
          </cell>
          <cell r="AC39">
            <v>94.44</v>
          </cell>
          <cell r="AD39">
            <v>94.44</v>
          </cell>
        </row>
        <row r="40">
          <cell r="B40" t="str">
            <v>H2 (KBR)</v>
          </cell>
          <cell r="E40">
            <v>72.759</v>
          </cell>
          <cell r="F40">
            <v>69.489450000000005</v>
          </cell>
          <cell r="G40">
            <v>66.21990000000001</v>
          </cell>
          <cell r="H40">
            <v>62.95035</v>
          </cell>
          <cell r="I40">
            <v>59.680800000000005</v>
          </cell>
          <cell r="J40">
            <v>56.411250000000003</v>
          </cell>
          <cell r="K40">
            <v>54.615300000000005</v>
          </cell>
          <cell r="L40">
            <v>52.81935</v>
          </cell>
          <cell r="M40">
            <v>51.023400000000002</v>
          </cell>
          <cell r="N40">
            <v>49.227449999999997</v>
          </cell>
          <cell r="O40">
            <v>47.4315</v>
          </cell>
          <cell r="P40">
            <v>46.763775000000003</v>
          </cell>
          <cell r="Q40">
            <v>46.096050000000005</v>
          </cell>
          <cell r="R40">
            <v>45.428325000000001</v>
          </cell>
          <cell r="S40">
            <v>44.760599999999997</v>
          </cell>
          <cell r="T40">
            <v>44.092875000000006</v>
          </cell>
          <cell r="U40">
            <v>43.310025000000003</v>
          </cell>
          <cell r="V40">
            <v>42.527175</v>
          </cell>
          <cell r="W40">
            <v>41.744325000000003</v>
          </cell>
          <cell r="X40">
            <v>40.961475000000007</v>
          </cell>
          <cell r="Y40">
            <v>40.178625000000004</v>
          </cell>
          <cell r="Z40">
            <v>40.178625000000004</v>
          </cell>
          <cell r="AA40">
            <v>40.178625000000004</v>
          </cell>
          <cell r="AB40">
            <v>40.178625000000004</v>
          </cell>
          <cell r="AC40">
            <v>40.178625000000004</v>
          </cell>
          <cell r="AD40">
            <v>40.178625000000004</v>
          </cell>
        </row>
        <row r="41">
          <cell r="B41" t="str">
            <v>H2 (McKinsey)</v>
          </cell>
          <cell r="E41">
            <v>65.621250000000003</v>
          </cell>
          <cell r="F41">
            <v>60.555749999999996</v>
          </cell>
          <cell r="G41">
            <v>55.490250000000003</v>
          </cell>
          <cell r="H41">
            <v>50.424749999999996</v>
          </cell>
          <cell r="I41">
            <v>45.359250000000003</v>
          </cell>
          <cell r="J41">
            <v>40.293750000000003</v>
          </cell>
          <cell r="K41">
            <v>38.451750000000004</v>
          </cell>
          <cell r="L41">
            <v>36.609750000000005</v>
          </cell>
          <cell r="M41">
            <v>34.767749999999999</v>
          </cell>
          <cell r="N41">
            <v>32.925750000000001</v>
          </cell>
          <cell r="O41">
            <v>31.083750000000002</v>
          </cell>
          <cell r="P41">
            <v>29.702250000000003</v>
          </cell>
          <cell r="Q41">
            <v>28.32075</v>
          </cell>
          <cell r="R41">
            <v>26.939249999999998</v>
          </cell>
          <cell r="S41">
            <v>25.557750000000002</v>
          </cell>
          <cell r="T41">
            <v>24.17625</v>
          </cell>
          <cell r="U41">
            <v>23.554575000000003</v>
          </cell>
          <cell r="V41">
            <v>22.9329</v>
          </cell>
          <cell r="W41">
            <v>22.311225</v>
          </cell>
          <cell r="X41">
            <v>21.689550000000004</v>
          </cell>
          <cell r="Y41">
            <v>21.067875000000001</v>
          </cell>
          <cell r="Z41">
            <v>21.067875000000001</v>
          </cell>
          <cell r="AA41">
            <v>21.067875000000001</v>
          </cell>
          <cell r="AB41">
            <v>21.067875000000001</v>
          </cell>
          <cell r="AC41">
            <v>21.067875000000001</v>
          </cell>
          <cell r="AD41">
            <v>21.067875000000001</v>
          </cell>
        </row>
        <row r="42">
          <cell r="B42" t="str">
            <v>IMP-3</v>
          </cell>
          <cell r="E42">
            <v>94.44</v>
          </cell>
          <cell r="F42">
            <v>94.44</v>
          </cell>
          <cell r="G42">
            <v>94.44</v>
          </cell>
          <cell r="H42">
            <v>94.44</v>
          </cell>
          <cell r="I42">
            <v>94.44</v>
          </cell>
          <cell r="J42">
            <v>94.44</v>
          </cell>
          <cell r="K42">
            <v>94.44</v>
          </cell>
          <cell r="L42">
            <v>94.44</v>
          </cell>
          <cell r="M42">
            <v>94.44</v>
          </cell>
          <cell r="N42">
            <v>94.44</v>
          </cell>
          <cell r="O42">
            <v>94.44</v>
          </cell>
          <cell r="P42">
            <v>94.44</v>
          </cell>
          <cell r="Q42">
            <v>94.44</v>
          </cell>
          <cell r="R42">
            <v>94.44</v>
          </cell>
          <cell r="S42">
            <v>94.44</v>
          </cell>
          <cell r="T42">
            <v>94.44</v>
          </cell>
          <cell r="U42">
            <v>94.44</v>
          </cell>
          <cell r="V42">
            <v>94.44</v>
          </cell>
          <cell r="W42">
            <v>94.44</v>
          </cell>
          <cell r="X42">
            <v>94.44</v>
          </cell>
          <cell r="Y42">
            <v>94.44</v>
          </cell>
          <cell r="Z42">
            <v>94.44</v>
          </cell>
          <cell r="AA42">
            <v>94.44</v>
          </cell>
          <cell r="AB42">
            <v>94.44</v>
          </cell>
          <cell r="AC42">
            <v>94.44</v>
          </cell>
          <cell r="AD42">
            <v>94.44</v>
          </cell>
        </row>
        <row r="43">
          <cell r="B43" t="str">
            <v>IMP-4</v>
          </cell>
          <cell r="E43">
            <v>97.22</v>
          </cell>
          <cell r="F43">
            <v>97.22</v>
          </cell>
          <cell r="G43">
            <v>97.22</v>
          </cell>
          <cell r="H43">
            <v>97.22</v>
          </cell>
          <cell r="I43">
            <v>97.22</v>
          </cell>
          <cell r="J43">
            <v>97.22</v>
          </cell>
          <cell r="K43">
            <v>97.22</v>
          </cell>
          <cell r="L43">
            <v>97.22</v>
          </cell>
          <cell r="M43">
            <v>97.22</v>
          </cell>
          <cell r="N43">
            <v>97.22</v>
          </cell>
          <cell r="O43">
            <v>97.22</v>
          </cell>
          <cell r="P43">
            <v>97.22</v>
          </cell>
          <cell r="Q43">
            <v>97.22</v>
          </cell>
          <cell r="R43">
            <v>97.22</v>
          </cell>
          <cell r="S43">
            <v>97.22</v>
          </cell>
          <cell r="T43">
            <v>97.22</v>
          </cell>
          <cell r="U43">
            <v>97.22</v>
          </cell>
          <cell r="V43">
            <v>97.22</v>
          </cell>
          <cell r="W43">
            <v>97.22</v>
          </cell>
          <cell r="X43">
            <v>97.22</v>
          </cell>
          <cell r="Y43">
            <v>97.22</v>
          </cell>
          <cell r="Z43">
            <v>97.22</v>
          </cell>
          <cell r="AA43">
            <v>97.22</v>
          </cell>
          <cell r="AB43">
            <v>97.22</v>
          </cell>
          <cell r="AC43">
            <v>97.22</v>
          </cell>
          <cell r="AD43">
            <v>97.22</v>
          </cell>
        </row>
        <row r="44">
          <cell r="E44">
            <v>2020</v>
          </cell>
          <cell r="F44">
            <v>2022</v>
          </cell>
          <cell r="G44">
            <v>2024</v>
          </cell>
          <cell r="H44">
            <v>2026</v>
          </cell>
          <cell r="I44">
            <v>2028</v>
          </cell>
          <cell r="J44">
            <v>2030</v>
          </cell>
          <cell r="K44">
            <v>2032</v>
          </cell>
          <cell r="L44">
            <v>2034</v>
          </cell>
          <cell r="M44">
            <v>2036</v>
          </cell>
          <cell r="N44">
            <v>2038</v>
          </cell>
          <cell r="O44">
            <v>2040</v>
          </cell>
          <cell r="P44">
            <v>2042</v>
          </cell>
          <cell r="Q44">
            <v>2044</v>
          </cell>
          <cell r="R44">
            <v>2046</v>
          </cell>
          <cell r="S44">
            <v>2048</v>
          </cell>
          <cell r="T44">
            <v>2050</v>
          </cell>
          <cell r="U44">
            <v>2052</v>
          </cell>
          <cell r="V44">
            <v>2054</v>
          </cell>
          <cell r="W44">
            <v>2056</v>
          </cell>
          <cell r="X44">
            <v>2058</v>
          </cell>
          <cell r="Y44">
            <v>2060</v>
          </cell>
          <cell r="Z44">
            <v>2062</v>
          </cell>
          <cell r="AA44">
            <v>2064</v>
          </cell>
          <cell r="AB44">
            <v>2066</v>
          </cell>
          <cell r="AC44">
            <v>2068</v>
          </cell>
          <cell r="AD44">
            <v>2070</v>
          </cell>
        </row>
        <row r="45">
          <cell r="B45" t="str">
            <v>Supply</v>
          </cell>
          <cell r="E45">
            <v>26.120124000000001</v>
          </cell>
          <cell r="F45">
            <v>37.935844590821866</v>
          </cell>
          <cell r="G45">
            <v>38.59949855578342</v>
          </cell>
          <cell r="H45">
            <v>35.030629628312838</v>
          </cell>
          <cell r="I45">
            <v>35.212508515621579</v>
          </cell>
          <cell r="J45">
            <v>36.979477069322982</v>
          </cell>
          <cell r="K45">
            <v>38.185759923193977</v>
          </cell>
          <cell r="L45">
            <v>39.224111845529052</v>
          </cell>
          <cell r="M45">
            <v>40.511778123831995</v>
          </cell>
          <cell r="N45">
            <v>41.613391711281018</v>
          </cell>
          <cell r="O45">
            <v>42.979506999619559</v>
          </cell>
          <cell r="P45">
            <v>44.148237151035872</v>
          </cell>
          <cell r="Q45">
            <v>45.597581672246804</v>
          </cell>
          <cell r="R45">
            <v>46.837518228300425</v>
          </cell>
          <cell r="S45">
            <v>48.37516353440499</v>
          </cell>
          <cell r="T45">
            <v>49.69064559884395</v>
          </cell>
          <cell r="U45">
            <v>51.321972329032086</v>
          </cell>
          <cell r="V45">
            <v>52.717603463064819</v>
          </cell>
          <cell r="W45">
            <v>54.448320184298673</v>
          </cell>
          <cell r="X45">
            <v>55.928984527337533</v>
          </cell>
          <cell r="Y45">
            <v>57.765147723587368</v>
          </cell>
          <cell r="Z45">
            <v>57.765147723587368</v>
          </cell>
          <cell r="AA45">
            <v>57.765147723587368</v>
          </cell>
          <cell r="AB45">
            <v>57.765147723587368</v>
          </cell>
          <cell r="AC45">
            <v>57.765147723587368</v>
          </cell>
          <cell r="AD45">
            <v>57.765147723587368</v>
          </cell>
        </row>
        <row r="46">
          <cell r="B46" t="str">
            <v>Supply</v>
          </cell>
          <cell r="E46">
            <v>181.561100638417</v>
          </cell>
          <cell r="F46">
            <v>174.37039946572671</v>
          </cell>
          <cell r="G46">
            <v>167.17969829303641</v>
          </cell>
          <cell r="H46">
            <v>159.98899712034611</v>
          </cell>
          <cell r="I46">
            <v>152.79829594765579</v>
          </cell>
          <cell r="J46">
            <v>145.60759477496555</v>
          </cell>
          <cell r="K46">
            <v>145.60759477496555</v>
          </cell>
          <cell r="L46">
            <v>145.60759477496555</v>
          </cell>
          <cell r="M46">
            <v>145.60759477496555</v>
          </cell>
          <cell r="N46">
            <v>145.60759477496555</v>
          </cell>
          <cell r="O46">
            <v>145.60759477496555</v>
          </cell>
          <cell r="P46">
            <v>145.60759477496555</v>
          </cell>
          <cell r="Q46">
            <v>145.60759477496555</v>
          </cell>
          <cell r="R46">
            <v>145.60759477496555</v>
          </cell>
          <cell r="S46">
            <v>145.60759477496555</v>
          </cell>
          <cell r="T46">
            <v>145.60759477496555</v>
          </cell>
          <cell r="U46">
            <v>145.60759477496555</v>
          </cell>
          <cell r="V46">
            <v>145.60759477496555</v>
          </cell>
          <cell r="W46">
            <v>145.60759477496555</v>
          </cell>
          <cell r="X46">
            <v>145.60759477496555</v>
          </cell>
          <cell r="Y46">
            <v>145.60759477496555</v>
          </cell>
          <cell r="Z46">
            <v>145.60759477496555</v>
          </cell>
          <cell r="AA46">
            <v>145.60759477496555</v>
          </cell>
          <cell r="AB46">
            <v>145.60759477496555</v>
          </cell>
          <cell r="AC46">
            <v>145.60759477496555</v>
          </cell>
          <cell r="AD46">
            <v>145.60759477496555</v>
          </cell>
        </row>
      </sheetData>
      <sheetData sheetId="3"/>
      <sheetData sheetId="4">
        <row r="7">
          <cell r="K7" t="str">
            <v>COA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17D9-3F78-47B0-A7B6-1299527335C1}">
  <dimension ref="A1:AN55"/>
  <sheetViews>
    <sheetView tabSelected="1" topLeftCell="A2" zoomScale="41" zoomScaleNormal="100" workbookViewId="0">
      <selection activeCell="AE31" sqref="AE31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6" width="9" bestFit="1" customWidth="1"/>
    <col min="27" max="27" width="9" customWidth="1"/>
    <col min="28" max="28" width="15.6640625" bestFit="1" customWidth="1"/>
    <col min="29" max="29" width="27.1640625" bestFit="1" customWidth="1"/>
    <col min="30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48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44" t="s">
        <v>80</v>
      </c>
      <c r="W9" s="45"/>
      <c r="X9" s="30"/>
      <c r="Y9" s="30"/>
      <c r="Z9" s="8"/>
      <c r="AA9" s="8"/>
      <c r="AB9" s="25" t="s">
        <v>99</v>
      </c>
      <c r="AC9" s="8"/>
      <c r="AD9" s="8"/>
      <c r="AE9" s="8"/>
      <c r="AF9" s="8"/>
      <c r="AG9" s="8" t="s">
        <v>81</v>
      </c>
      <c r="AH9" s="10"/>
      <c r="AI9" s="10"/>
      <c r="AJ9" s="8"/>
      <c r="AK9" s="8"/>
      <c r="AL9" s="8" t="s">
        <v>81</v>
      </c>
    </row>
    <row r="10" spans="1:40" s="26" customFormat="1" x14ac:dyDescent="0.2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84</v>
      </c>
      <c r="G10" t="s">
        <v>100</v>
      </c>
      <c r="H10" t="s">
        <v>87</v>
      </c>
      <c r="I10" t="s">
        <v>88</v>
      </c>
      <c r="J10" t="s">
        <v>89</v>
      </c>
      <c r="K10" s="27">
        <v>2018</v>
      </c>
      <c r="L10">
        <v>2018</v>
      </c>
      <c r="M10">
        <v>25</v>
      </c>
      <c r="N10"/>
      <c r="O10">
        <v>56.1</v>
      </c>
      <c r="P10" t="s">
        <v>61</v>
      </c>
      <c r="Q10" t="s">
        <v>90</v>
      </c>
      <c r="R10">
        <v>1572.78303799792</v>
      </c>
      <c r="S10" t="s">
        <v>91</v>
      </c>
      <c r="T10">
        <v>51.877102054425698</v>
      </c>
      <c r="U10" t="s">
        <v>92</v>
      </c>
      <c r="V10">
        <v>1.9273243107603</v>
      </c>
      <c r="W10" t="s">
        <v>93</v>
      </c>
      <c r="X10"/>
      <c r="Y10"/>
      <c r="Z10">
        <v>0.49700060137072799</v>
      </c>
      <c r="AA10"/>
      <c r="AB10">
        <v>1</v>
      </c>
      <c r="AC10" t="s">
        <v>94</v>
      </c>
      <c r="AD10"/>
      <c r="AE10"/>
      <c r="AF10">
        <v>0.8</v>
      </c>
      <c r="AG10">
        <v>2.01207</v>
      </c>
      <c r="AH10" s="27">
        <v>9952.9</v>
      </c>
      <c r="AI10" t="s">
        <v>97</v>
      </c>
      <c r="AJ10"/>
      <c r="AK10"/>
      <c r="AL10"/>
      <c r="AM10"/>
      <c r="AN10"/>
    </row>
    <row r="11" spans="1:40" s="26" customFormat="1" x14ac:dyDescent="0.2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84</v>
      </c>
      <c r="G11" t="s">
        <v>100</v>
      </c>
      <c r="H11" t="s">
        <v>87</v>
      </c>
      <c r="I11" t="s">
        <v>88</v>
      </c>
      <c r="J11" t="s">
        <v>89</v>
      </c>
      <c r="K11" s="27">
        <v>2024</v>
      </c>
      <c r="L11">
        <v>2018</v>
      </c>
      <c r="M11">
        <v>25</v>
      </c>
      <c r="N11"/>
      <c r="O11">
        <v>56.1</v>
      </c>
      <c r="P11" t="s">
        <v>61</v>
      </c>
      <c r="Q11" t="s">
        <v>90</v>
      </c>
      <c r="R11">
        <v>1572.78303799792</v>
      </c>
      <c r="S11" t="s">
        <v>91</v>
      </c>
      <c r="T11">
        <v>51.877102054425698</v>
      </c>
      <c r="U11" t="s">
        <v>92</v>
      </c>
      <c r="V11">
        <v>1.9273243107603</v>
      </c>
      <c r="W11" t="s">
        <v>93</v>
      </c>
      <c r="X11"/>
      <c r="Y11"/>
      <c r="Z11">
        <v>0.49700060137072799</v>
      </c>
      <c r="AA11"/>
      <c r="AB11">
        <v>1</v>
      </c>
      <c r="AC11" t="s">
        <v>94</v>
      </c>
      <c r="AD11"/>
      <c r="AE11"/>
      <c r="AF11">
        <v>0.8</v>
      </c>
      <c r="AG11">
        <v>2.01207</v>
      </c>
      <c r="AH11" s="27">
        <v>9920.4</v>
      </c>
      <c r="AI11" t="s">
        <v>97</v>
      </c>
      <c r="AJ11"/>
      <c r="AK11"/>
      <c r="AL11"/>
      <c r="AM11"/>
      <c r="AN11"/>
    </row>
    <row r="12" spans="1:40" s="26" customFormat="1" x14ac:dyDescent="0.2">
      <c r="A12"/>
      <c r="B12"/>
      <c r="C12"/>
      <c r="D12"/>
      <c r="E12"/>
      <c r="F12"/>
      <c r="G12"/>
      <c r="H12"/>
      <c r="I12"/>
      <c r="J12"/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 s="27"/>
      <c r="AI12"/>
      <c r="AJ12"/>
      <c r="AK12"/>
      <c r="AL12"/>
      <c r="AM12"/>
      <c r="AN12"/>
    </row>
    <row r="13" spans="1:40" s="26" customFormat="1" x14ac:dyDescent="0.2">
      <c r="A13"/>
      <c r="B13"/>
      <c r="C13"/>
      <c r="D13"/>
      <c r="E13"/>
      <c r="F13"/>
      <c r="G13"/>
      <c r="H13"/>
      <c r="I13"/>
      <c r="J13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 s="27"/>
      <c r="AI13"/>
      <c r="AJ13"/>
      <c r="AK13"/>
      <c r="AL13"/>
      <c r="AM13"/>
      <c r="AN13"/>
    </row>
    <row r="14" spans="1:40" s="26" customFormat="1" x14ac:dyDescent="0.2">
      <c r="A14"/>
      <c r="B14"/>
      <c r="C14"/>
      <c r="D14"/>
      <c r="E14"/>
      <c r="F14"/>
      <c r="G14"/>
      <c r="H14"/>
      <c r="I14"/>
      <c r="J14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 s="27"/>
      <c r="AI14"/>
      <c r="AJ14"/>
      <c r="AK14"/>
      <c r="AL14"/>
      <c r="AM14"/>
      <c r="AN14"/>
    </row>
    <row r="15" spans="1:40" s="26" customFormat="1" x14ac:dyDescent="0.2">
      <c r="A15"/>
      <c r="B15"/>
      <c r="C15"/>
      <c r="D15"/>
      <c r="E15"/>
      <c r="F15"/>
      <c r="G15"/>
      <c r="H15"/>
      <c r="I15"/>
      <c r="J15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 s="27"/>
      <c r="AI15"/>
      <c r="AJ15"/>
      <c r="AK15"/>
      <c r="AL15"/>
      <c r="AM15"/>
      <c r="AN15"/>
    </row>
    <row r="16" spans="1:40" s="26" customFormat="1" x14ac:dyDescent="0.2">
      <c r="A16"/>
      <c r="B16"/>
      <c r="C16"/>
      <c r="D16"/>
      <c r="E16"/>
      <c r="F16"/>
      <c r="G16"/>
      <c r="H16"/>
      <c r="I16"/>
      <c r="J16"/>
      <c r="K16" s="27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 s="27"/>
      <c r="AI16"/>
      <c r="AJ16"/>
      <c r="AK16"/>
      <c r="AL16"/>
      <c r="AM16"/>
      <c r="AN16"/>
    </row>
    <row r="17" spans="1:40" s="26" customFormat="1" x14ac:dyDescent="0.2">
      <c r="A17"/>
      <c r="B17"/>
      <c r="C17"/>
      <c r="D17"/>
      <c r="E17"/>
      <c r="F17"/>
      <c r="G17"/>
      <c r="H17"/>
      <c r="I17"/>
      <c r="J17"/>
      <c r="K17" s="2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 s="27"/>
      <c r="AI17"/>
      <c r="AJ17"/>
      <c r="AK17"/>
      <c r="AL17"/>
      <c r="AM17"/>
      <c r="AN17"/>
    </row>
    <row r="18" spans="1:40" s="26" customFormat="1" x14ac:dyDescent="0.2">
      <c r="A18"/>
      <c r="B18"/>
      <c r="C18"/>
      <c r="D18"/>
      <c r="E18"/>
      <c r="F18"/>
      <c r="G18"/>
      <c r="H18"/>
      <c r="I18"/>
      <c r="J18"/>
      <c r="K18" s="27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s="27"/>
      <c r="AI18"/>
      <c r="AJ18"/>
      <c r="AK18"/>
      <c r="AL18"/>
      <c r="AM18"/>
      <c r="AN18"/>
    </row>
    <row r="19" spans="1:40" s="26" customFormat="1" x14ac:dyDescent="0.2">
      <c r="A19"/>
      <c r="B19"/>
      <c r="C19"/>
      <c r="D19"/>
      <c r="E19"/>
      <c r="F19"/>
      <c r="G19"/>
      <c r="H19"/>
      <c r="I19"/>
      <c r="J19"/>
      <c r="K19" s="27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s="27"/>
      <c r="AI19"/>
      <c r="AJ19"/>
      <c r="AK19"/>
      <c r="AL19"/>
      <c r="AM19"/>
      <c r="AN19"/>
    </row>
    <row r="20" spans="1:40" x14ac:dyDescent="0.2"/>
    <row r="21" spans="1:40" x14ac:dyDescent="0.2"/>
    <row r="22" spans="1:40" s="26" customFormat="1" x14ac:dyDescent="0.2">
      <c r="A22"/>
      <c r="B22"/>
      <c r="C22"/>
      <c r="D22"/>
      <c r="E22"/>
      <c r="F22"/>
      <c r="G22"/>
      <c r="H22"/>
      <c r="I22"/>
      <c r="J22"/>
      <c r="K22" s="27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 s="27"/>
      <c r="AI22"/>
      <c r="AJ22"/>
      <c r="AK22"/>
      <c r="AL22"/>
      <c r="AM22"/>
      <c r="AN22"/>
    </row>
    <row r="23" spans="1:40" s="26" customFormat="1" x14ac:dyDescent="0.2">
      <c r="A23"/>
      <c r="B23"/>
      <c r="C23"/>
      <c r="D23"/>
      <c r="E23"/>
      <c r="F23"/>
      <c r="G23"/>
      <c r="H23"/>
      <c r="I23"/>
      <c r="J23"/>
      <c r="K23" s="27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 s="27"/>
      <c r="AI23"/>
      <c r="AJ23"/>
      <c r="AK23"/>
      <c r="AL23"/>
      <c r="AM23"/>
      <c r="AN23"/>
    </row>
    <row r="26" spans="1:40" x14ac:dyDescent="0.2">
      <c r="E26" s="9"/>
      <c r="G26" s="26"/>
      <c r="K26" s="27"/>
      <c r="R26" s="27"/>
      <c r="T26" s="27"/>
      <c r="AB26" s="9"/>
      <c r="AC26" s="9"/>
      <c r="AD26" s="9"/>
      <c r="AE26" s="9"/>
      <c r="AK26" s="27"/>
    </row>
    <row r="27" spans="1:40" x14ac:dyDescent="0.2">
      <c r="E27" s="9"/>
      <c r="G27" s="26"/>
      <c r="K27" s="27"/>
      <c r="R27" s="27"/>
      <c r="T27" s="27"/>
      <c r="AB27" s="9"/>
      <c r="AC27" s="9"/>
      <c r="AD27" s="9"/>
      <c r="AE27" s="9"/>
      <c r="AK27" s="27"/>
    </row>
    <row r="28" spans="1:40" x14ac:dyDescent="0.2">
      <c r="E28" s="9"/>
      <c r="G28" s="26"/>
      <c r="K28" s="27"/>
      <c r="R28" s="27"/>
      <c r="T28" s="27"/>
      <c r="AB28" s="9"/>
      <c r="AC28" s="9"/>
      <c r="AD28" s="9"/>
      <c r="AE28" s="9"/>
      <c r="AK28" s="27"/>
    </row>
    <row r="29" spans="1:40" x14ac:dyDescent="0.2">
      <c r="E29" s="9"/>
      <c r="G29" s="26"/>
      <c r="K29" s="27"/>
      <c r="R29" s="27"/>
      <c r="T29" s="27"/>
      <c r="AB29" s="9"/>
      <c r="AC29" s="9"/>
      <c r="AD29" s="9"/>
      <c r="AE29" s="9"/>
      <c r="AK29" s="27"/>
    </row>
    <row r="30" spans="1:40" x14ac:dyDescent="0.2">
      <c r="E30" s="9"/>
      <c r="G30" s="26"/>
    </row>
    <row r="31" spans="1:40" x14ac:dyDescent="0.2">
      <c r="E31" s="9"/>
      <c r="G31" s="26"/>
    </row>
    <row r="32" spans="1:40" x14ac:dyDescent="0.2">
      <c r="E32" s="9"/>
      <c r="G32" s="26"/>
      <c r="K32" s="27"/>
      <c r="R32" s="27"/>
      <c r="T32" s="27"/>
    </row>
    <row r="33" spans="5:31" x14ac:dyDescent="0.2">
      <c r="E33" s="9"/>
      <c r="G33" s="26"/>
      <c r="K33" s="27"/>
      <c r="R33" s="27"/>
      <c r="T33" s="27"/>
    </row>
    <row r="34" spans="5:31" x14ac:dyDescent="0.2">
      <c r="E34" s="9"/>
      <c r="G34" s="26"/>
      <c r="K34" s="27"/>
      <c r="R34" s="27"/>
      <c r="T34" s="27"/>
    </row>
    <row r="35" spans="5:31" x14ac:dyDescent="0.2">
      <c r="E35" s="9"/>
      <c r="G35" s="26"/>
      <c r="K35" s="27"/>
      <c r="R35" s="27"/>
      <c r="T35" s="27"/>
    </row>
    <row r="36" spans="5:31" x14ac:dyDescent="0.2">
      <c r="E36" s="9"/>
      <c r="G36" s="26"/>
      <c r="K36" s="28"/>
      <c r="R36" s="28"/>
      <c r="T36" s="28"/>
      <c r="AB36" s="1"/>
      <c r="AC36" s="1"/>
      <c r="AD36" s="1"/>
      <c r="AE36" s="1"/>
    </row>
    <row r="37" spans="5:31" x14ac:dyDescent="0.2">
      <c r="E37" s="9"/>
      <c r="G37" s="26"/>
      <c r="K37" s="28"/>
      <c r="R37" s="28"/>
      <c r="T37" s="28"/>
      <c r="AB37" s="1"/>
      <c r="AC37" s="1"/>
      <c r="AD37" s="1"/>
      <c r="AE37" s="1"/>
    </row>
    <row r="38" spans="5:31" x14ac:dyDescent="0.2">
      <c r="E38" s="9"/>
      <c r="G38" s="26"/>
      <c r="K38" s="28"/>
      <c r="R38" s="28"/>
      <c r="T38" s="28"/>
      <c r="AB38" s="1"/>
      <c r="AC38" s="1"/>
      <c r="AD38" s="1"/>
      <c r="AE38" s="1"/>
    </row>
    <row r="39" spans="5:31" x14ac:dyDescent="0.2">
      <c r="E39" s="9"/>
      <c r="G39" s="26"/>
      <c r="K39" s="28"/>
      <c r="R39" s="28"/>
      <c r="T39" s="28"/>
      <c r="AB39" s="1"/>
      <c r="AC39" s="1"/>
      <c r="AD39" s="1"/>
      <c r="AE39" s="1"/>
    </row>
    <row r="40" spans="5:31" x14ac:dyDescent="0.2">
      <c r="E40" s="9"/>
      <c r="G40" s="26"/>
      <c r="K40" s="27"/>
      <c r="R40" s="27"/>
      <c r="T40" s="27"/>
    </row>
    <row r="41" spans="5:31" x14ac:dyDescent="0.2">
      <c r="E41" s="9"/>
      <c r="G41" s="26"/>
      <c r="K41" s="27"/>
      <c r="R41" s="27"/>
      <c r="T41" s="27"/>
    </row>
    <row r="42" spans="5:31" x14ac:dyDescent="0.2">
      <c r="E42" s="9"/>
      <c r="G42" s="26"/>
      <c r="K42" s="27"/>
      <c r="R42" s="27"/>
      <c r="T42" s="27"/>
    </row>
    <row r="43" spans="5:31" x14ac:dyDescent="0.2">
      <c r="E43" s="9"/>
      <c r="G43" s="26"/>
      <c r="K43" s="27"/>
      <c r="R43" s="27"/>
      <c r="T43" s="27"/>
    </row>
    <row r="44" spans="5:31" x14ac:dyDescent="0.2">
      <c r="E44" s="9"/>
      <c r="G44" s="26"/>
      <c r="K44" s="28"/>
      <c r="R44" s="28"/>
      <c r="T44" s="28"/>
    </row>
    <row r="45" spans="5:31" x14ac:dyDescent="0.2">
      <c r="E45" s="9"/>
      <c r="G45" s="26"/>
      <c r="K45" s="28"/>
      <c r="R45" s="28"/>
      <c r="T45" s="28"/>
    </row>
    <row r="46" spans="5:31" x14ac:dyDescent="0.2">
      <c r="E46" s="9"/>
      <c r="G46" s="26"/>
      <c r="K46" s="28"/>
      <c r="R46" s="28"/>
      <c r="T46" s="28"/>
    </row>
    <row r="47" spans="5:31" x14ac:dyDescent="0.2">
      <c r="E47" s="9"/>
      <c r="G47" s="26"/>
      <c r="K47" s="28"/>
      <c r="R47" s="28"/>
      <c r="T47" s="28"/>
    </row>
    <row r="48" spans="5:31" x14ac:dyDescent="0.2">
      <c r="E48" s="9"/>
      <c r="G48" s="26"/>
      <c r="K48" s="27"/>
      <c r="R48" s="27"/>
      <c r="T48" s="27"/>
    </row>
    <row r="49" spans="5:20" x14ac:dyDescent="0.2">
      <c r="E49" s="9"/>
      <c r="G49" s="26"/>
      <c r="K49" s="27"/>
      <c r="R49" s="27"/>
      <c r="T49" s="27"/>
    </row>
    <row r="50" spans="5:20" x14ac:dyDescent="0.2">
      <c r="E50" s="9"/>
      <c r="G50" s="26"/>
      <c r="K50" s="27"/>
      <c r="R50" s="27"/>
      <c r="T50" s="27"/>
    </row>
    <row r="51" spans="5:20" x14ac:dyDescent="0.2">
      <c r="E51" s="9"/>
      <c r="G51" s="26"/>
      <c r="K51" s="27"/>
      <c r="R51" s="27"/>
      <c r="T51" s="27"/>
    </row>
    <row r="52" spans="5:20" x14ac:dyDescent="0.2">
      <c r="E52" s="9"/>
      <c r="G52" s="26"/>
      <c r="K52" s="28"/>
      <c r="R52" s="28"/>
      <c r="T52" s="28"/>
    </row>
    <row r="53" spans="5:20" x14ac:dyDescent="0.2">
      <c r="E53" s="9"/>
      <c r="G53" s="26"/>
      <c r="K53" s="28"/>
      <c r="R53" s="28"/>
      <c r="T53" s="28"/>
    </row>
    <row r="54" spans="5:20" x14ac:dyDescent="0.2">
      <c r="E54" s="9"/>
      <c r="G54" s="26"/>
      <c r="K54" s="28"/>
      <c r="R54" s="28"/>
      <c r="T54" s="28"/>
    </row>
    <row r="55" spans="5:20" x14ac:dyDescent="0.2">
      <c r="E55" s="9"/>
      <c r="G55" s="26"/>
      <c r="K55" s="28"/>
      <c r="R55" s="28"/>
      <c r="T55" s="28"/>
    </row>
  </sheetData>
  <mergeCells count="14">
    <mergeCell ref="B1:F1"/>
    <mergeCell ref="H1:M1"/>
    <mergeCell ref="Z1:AG1"/>
    <mergeCell ref="O1:W1"/>
    <mergeCell ref="O4:P4"/>
    <mergeCell ref="R4:U4"/>
    <mergeCell ref="V4:W4"/>
    <mergeCell ref="Z4:AG4"/>
    <mergeCell ref="AH1:AI1"/>
    <mergeCell ref="AH4:AI4"/>
    <mergeCell ref="AJ1:AL2"/>
    <mergeCell ref="R9:S9"/>
    <mergeCell ref="T9:U9"/>
    <mergeCell ref="V9:W9"/>
  </mergeCells>
  <phoneticPr fontId="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9D33-AE10-48B7-B259-C14C65AB430A}">
  <dimension ref="A1:AN21"/>
  <sheetViews>
    <sheetView topLeftCell="D1" zoomScale="80" zoomScaleNormal="80" workbookViewId="0">
      <selection activeCell="N2" sqref="N2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6" width="9" bestFit="1" customWidth="1"/>
    <col min="27" max="27" width="9" customWidth="1"/>
    <col min="28" max="28" width="15.6640625" bestFit="1" customWidth="1"/>
    <col min="29" max="29" width="27.1640625" bestFit="1" customWidth="1"/>
    <col min="30" max="30" width="18.1640625" customWidth="1"/>
    <col min="31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48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44" t="s">
        <v>80</v>
      </c>
      <c r="W9" s="45"/>
      <c r="X9" s="30"/>
      <c r="Y9" s="30"/>
      <c r="Z9" s="8"/>
      <c r="AA9" s="8"/>
      <c r="AB9" s="25" t="s">
        <v>99</v>
      </c>
      <c r="AC9" s="8"/>
      <c r="AD9" s="8" t="s">
        <v>111</v>
      </c>
      <c r="AE9" s="8"/>
      <c r="AF9" s="8"/>
      <c r="AG9" s="8" t="s">
        <v>81</v>
      </c>
      <c r="AH9" s="10" t="s">
        <v>118</v>
      </c>
      <c r="AI9" s="10"/>
      <c r="AJ9" s="8"/>
      <c r="AK9" s="8"/>
      <c r="AL9" s="8" t="s">
        <v>81</v>
      </c>
    </row>
    <row r="10" spans="1:40" s="26" customFormat="1" x14ac:dyDescent="0.2">
      <c r="A10" t="s">
        <v>106</v>
      </c>
      <c r="B10" t="s">
        <v>83</v>
      </c>
      <c r="C10" t="s">
        <v>84</v>
      </c>
      <c r="D10" t="s">
        <v>85</v>
      </c>
      <c r="E10" t="s">
        <v>103</v>
      </c>
      <c r="F10" t="s">
        <v>84</v>
      </c>
      <c r="G10" t="s">
        <v>100</v>
      </c>
      <c r="H10" t="s">
        <v>104</v>
      </c>
      <c r="I10" t="s">
        <v>105</v>
      </c>
      <c r="J10" t="s">
        <v>89</v>
      </c>
      <c r="K10" s="27">
        <v>2018</v>
      </c>
      <c r="L10">
        <v>2018</v>
      </c>
      <c r="M10">
        <v>15</v>
      </c>
      <c r="N10"/>
      <c r="O10" t="s">
        <v>109</v>
      </c>
      <c r="P10" t="s">
        <v>61</v>
      </c>
      <c r="Q10" t="s">
        <v>90</v>
      </c>
      <c r="R10">
        <v>63.419583967529199</v>
      </c>
      <c r="S10" t="s">
        <v>61</v>
      </c>
      <c r="T10">
        <v>1.1027361972715699</v>
      </c>
      <c r="U10" t="s">
        <v>107</v>
      </c>
      <c r="V10">
        <v>0</v>
      </c>
      <c r="W10" t="s">
        <v>93</v>
      </c>
      <c r="X10"/>
      <c r="Y10"/>
      <c r="Z10">
        <v>0.7</v>
      </c>
      <c r="AA10"/>
      <c r="AB10">
        <v>1</v>
      </c>
      <c r="AC10" t="s">
        <v>108</v>
      </c>
      <c r="AD10" s="27">
        <v>16.1041579314507</v>
      </c>
      <c r="AE10" t="s">
        <v>109</v>
      </c>
      <c r="AF10">
        <v>1</v>
      </c>
      <c r="AG10" t="s">
        <v>109</v>
      </c>
      <c r="AH10">
        <v>0.67424888427398</v>
      </c>
      <c r="AI10" t="s">
        <v>109</v>
      </c>
      <c r="AJ10"/>
      <c r="AK10"/>
      <c r="AL10"/>
      <c r="AM10"/>
      <c r="AN10"/>
    </row>
    <row r="11" spans="1:40" s="26" customFormat="1" x14ac:dyDescent="0.2">
      <c r="A11" t="s">
        <v>106</v>
      </c>
      <c r="B11" t="s">
        <v>83</v>
      </c>
      <c r="C11" t="s">
        <v>84</v>
      </c>
      <c r="D11" t="s">
        <v>85</v>
      </c>
      <c r="E11" t="s">
        <v>103</v>
      </c>
      <c r="F11" t="s">
        <v>84</v>
      </c>
      <c r="G11" t="s">
        <v>100</v>
      </c>
      <c r="H11" t="s">
        <v>104</v>
      </c>
      <c r="I11" t="s">
        <v>105</v>
      </c>
      <c r="J11" t="s">
        <v>89</v>
      </c>
      <c r="K11" s="27">
        <v>2020</v>
      </c>
      <c r="L11">
        <v>2018</v>
      </c>
      <c r="M11">
        <v>15</v>
      </c>
      <c r="N11"/>
      <c r="O11" t="s">
        <v>109</v>
      </c>
      <c r="P11" t="s">
        <v>61</v>
      </c>
      <c r="Q11" t="s">
        <v>90</v>
      </c>
      <c r="R11">
        <v>63.419583967529199</v>
      </c>
      <c r="S11" t="s">
        <v>61</v>
      </c>
      <c r="T11">
        <v>1.1027361972715699</v>
      </c>
      <c r="U11" t="s">
        <v>107</v>
      </c>
      <c r="V11">
        <v>0</v>
      </c>
      <c r="W11" t="s">
        <v>93</v>
      </c>
      <c r="X11"/>
      <c r="Y11"/>
      <c r="Z11">
        <v>0.7</v>
      </c>
      <c r="AA11"/>
      <c r="AB11">
        <v>1</v>
      </c>
      <c r="AC11" t="s">
        <v>108</v>
      </c>
      <c r="AD11" s="27">
        <v>15.866911163272301</v>
      </c>
      <c r="AE11" t="s">
        <v>109</v>
      </c>
      <c r="AF11">
        <v>1</v>
      </c>
      <c r="AG11" t="s">
        <v>109</v>
      </c>
      <c r="AH11">
        <v>0.67424888427398</v>
      </c>
      <c r="AI11" t="s">
        <v>109</v>
      </c>
      <c r="AJ11"/>
      <c r="AK11"/>
      <c r="AL11"/>
      <c r="AM11"/>
      <c r="AN11"/>
    </row>
    <row r="12" spans="1:40" s="26" customFormat="1" x14ac:dyDescent="0.2">
      <c r="A12" t="s">
        <v>106</v>
      </c>
      <c r="B12" t="s">
        <v>83</v>
      </c>
      <c r="C12" t="s">
        <v>84</v>
      </c>
      <c r="D12" t="s">
        <v>85</v>
      </c>
      <c r="E12" t="s">
        <v>103</v>
      </c>
      <c r="F12" t="s">
        <v>84</v>
      </c>
      <c r="G12" t="s">
        <v>100</v>
      </c>
      <c r="H12" t="s">
        <v>104</v>
      </c>
      <c r="I12" t="s">
        <v>105</v>
      </c>
      <c r="J12" t="s">
        <v>89</v>
      </c>
      <c r="K12" s="27">
        <v>2022</v>
      </c>
      <c r="L12">
        <v>2018</v>
      </c>
      <c r="M12">
        <v>15</v>
      </c>
      <c r="N12"/>
      <c r="O12" t="s">
        <v>109</v>
      </c>
      <c r="P12" t="s">
        <v>61</v>
      </c>
      <c r="Q12" t="s">
        <v>90</v>
      </c>
      <c r="R12">
        <v>63.419583967529199</v>
      </c>
      <c r="S12" t="s">
        <v>61</v>
      </c>
      <c r="T12">
        <v>1.1027361972715699</v>
      </c>
      <c r="U12" t="s">
        <v>107</v>
      </c>
      <c r="V12">
        <v>0</v>
      </c>
      <c r="W12" t="s">
        <v>93</v>
      </c>
      <c r="X12"/>
      <c r="Y12"/>
      <c r="Z12">
        <v>0.7</v>
      </c>
      <c r="AA12"/>
      <c r="AB12">
        <v>1</v>
      </c>
      <c r="AC12" t="s">
        <v>108</v>
      </c>
      <c r="AD12" s="27">
        <v>21.830418480872499</v>
      </c>
      <c r="AE12" t="s">
        <v>109</v>
      </c>
      <c r="AF12">
        <v>1</v>
      </c>
      <c r="AG12" t="s">
        <v>109</v>
      </c>
      <c r="AH12">
        <v>0.67424888427398</v>
      </c>
      <c r="AI12" t="s">
        <v>109</v>
      </c>
      <c r="AJ12"/>
      <c r="AK12"/>
      <c r="AL12"/>
      <c r="AM12"/>
      <c r="AN12"/>
    </row>
    <row r="13" spans="1:40" s="26" customFormat="1" x14ac:dyDescent="0.2">
      <c r="A13" t="s">
        <v>106</v>
      </c>
      <c r="B13" t="s">
        <v>83</v>
      </c>
      <c r="C13" t="s">
        <v>84</v>
      </c>
      <c r="D13" t="s">
        <v>85</v>
      </c>
      <c r="E13" t="s">
        <v>103</v>
      </c>
      <c r="F13" t="s">
        <v>84</v>
      </c>
      <c r="G13" t="s">
        <v>100</v>
      </c>
      <c r="H13" t="s">
        <v>104</v>
      </c>
      <c r="I13" t="s">
        <v>105</v>
      </c>
      <c r="J13" t="s">
        <v>89</v>
      </c>
      <c r="K13" s="27">
        <v>2024</v>
      </c>
      <c r="L13">
        <v>2018</v>
      </c>
      <c r="M13">
        <v>15</v>
      </c>
      <c r="N13"/>
      <c r="O13" t="s">
        <v>109</v>
      </c>
      <c r="P13" t="s">
        <v>61</v>
      </c>
      <c r="Q13" t="s">
        <v>90</v>
      </c>
      <c r="R13">
        <v>63.419583967529199</v>
      </c>
      <c r="S13" t="s">
        <v>61</v>
      </c>
      <c r="T13">
        <v>1.1027361972715699</v>
      </c>
      <c r="U13" t="s">
        <v>107</v>
      </c>
      <c r="V13">
        <v>0</v>
      </c>
      <c r="W13" t="s">
        <v>93</v>
      </c>
      <c r="X13"/>
      <c r="Y13"/>
      <c r="Z13">
        <v>0.7</v>
      </c>
      <c r="AA13"/>
      <c r="AB13">
        <v>1</v>
      </c>
      <c r="AC13" t="s">
        <v>108</v>
      </c>
      <c r="AD13" s="27">
        <v>27.793925798472699</v>
      </c>
      <c r="AE13" t="s">
        <v>109</v>
      </c>
      <c r="AF13">
        <v>1</v>
      </c>
      <c r="AG13" t="s">
        <v>109</v>
      </c>
      <c r="AH13">
        <v>0.67424888427398</v>
      </c>
      <c r="AI13" t="s">
        <v>109</v>
      </c>
      <c r="AJ13"/>
      <c r="AK13"/>
      <c r="AL13"/>
      <c r="AM13"/>
      <c r="AN13"/>
    </row>
    <row r="14" spans="1:40" s="26" customFormat="1" x14ac:dyDescent="0.2">
      <c r="A14" t="s">
        <v>106</v>
      </c>
      <c r="B14" t="s">
        <v>83</v>
      </c>
      <c r="C14" t="s">
        <v>84</v>
      </c>
      <c r="D14" t="s">
        <v>85</v>
      </c>
      <c r="E14" t="s">
        <v>103</v>
      </c>
      <c r="F14" t="s">
        <v>84</v>
      </c>
      <c r="G14" t="s">
        <v>100</v>
      </c>
      <c r="H14" t="s">
        <v>104</v>
      </c>
      <c r="I14" t="s">
        <v>105</v>
      </c>
      <c r="J14" t="s">
        <v>89</v>
      </c>
      <c r="K14" s="27">
        <v>2026</v>
      </c>
      <c r="L14">
        <v>2018</v>
      </c>
      <c r="M14">
        <v>15</v>
      </c>
      <c r="N14"/>
      <c r="O14" t="s">
        <v>109</v>
      </c>
      <c r="P14" t="s">
        <v>61</v>
      </c>
      <c r="Q14" t="s">
        <v>90</v>
      </c>
      <c r="R14">
        <v>63.419583967529199</v>
      </c>
      <c r="S14" t="s">
        <v>61</v>
      </c>
      <c r="T14">
        <v>1.1027361972715699</v>
      </c>
      <c r="U14" t="s">
        <v>107</v>
      </c>
      <c r="V14">
        <v>0</v>
      </c>
      <c r="W14" t="s">
        <v>93</v>
      </c>
      <c r="X14"/>
      <c r="Y14"/>
      <c r="Z14">
        <v>0.7</v>
      </c>
      <c r="AA14"/>
      <c r="AB14">
        <v>1</v>
      </c>
      <c r="AC14" t="s">
        <v>108</v>
      </c>
      <c r="AD14" s="27">
        <v>33.757433116072903</v>
      </c>
      <c r="AE14" t="s">
        <v>109</v>
      </c>
      <c r="AF14">
        <v>1</v>
      </c>
      <c r="AG14" t="s">
        <v>109</v>
      </c>
      <c r="AH14">
        <v>0.67424888427398</v>
      </c>
      <c r="AI14" t="s">
        <v>109</v>
      </c>
      <c r="AJ14"/>
      <c r="AK14"/>
      <c r="AL14"/>
      <c r="AM14"/>
      <c r="AN14"/>
    </row>
    <row r="15" spans="1:40" s="26" customFormat="1" x14ac:dyDescent="0.2">
      <c r="A15" t="s">
        <v>106</v>
      </c>
      <c r="B15" t="s">
        <v>83</v>
      </c>
      <c r="C15" t="s">
        <v>84</v>
      </c>
      <c r="D15" t="s">
        <v>85</v>
      </c>
      <c r="E15" t="s">
        <v>103</v>
      </c>
      <c r="F15" t="s">
        <v>84</v>
      </c>
      <c r="G15" t="s">
        <v>100</v>
      </c>
      <c r="H15" t="s">
        <v>104</v>
      </c>
      <c r="I15" t="s">
        <v>105</v>
      </c>
      <c r="J15" t="s">
        <v>89</v>
      </c>
      <c r="K15" s="27">
        <v>2028</v>
      </c>
      <c r="L15">
        <v>2018</v>
      </c>
      <c r="M15">
        <v>15</v>
      </c>
      <c r="N15"/>
      <c r="O15" t="s">
        <v>109</v>
      </c>
      <c r="P15" t="s">
        <v>61</v>
      </c>
      <c r="Q15" t="s">
        <v>90</v>
      </c>
      <c r="R15">
        <v>63.419583967529199</v>
      </c>
      <c r="S15" t="s">
        <v>61</v>
      </c>
      <c r="T15">
        <v>1.1027361972715699</v>
      </c>
      <c r="U15" t="s">
        <v>107</v>
      </c>
      <c r="V15">
        <v>0</v>
      </c>
      <c r="W15" t="s">
        <v>93</v>
      </c>
      <c r="X15"/>
      <c r="Y15"/>
      <c r="Z15">
        <v>0.7</v>
      </c>
      <c r="AA15"/>
      <c r="AB15">
        <v>1</v>
      </c>
      <c r="AC15" t="s">
        <v>108</v>
      </c>
      <c r="AD15" s="27">
        <v>39.7209404336731</v>
      </c>
      <c r="AE15" t="s">
        <v>109</v>
      </c>
      <c r="AF15">
        <v>1</v>
      </c>
      <c r="AG15" t="s">
        <v>109</v>
      </c>
      <c r="AH15">
        <v>0.67424888427398</v>
      </c>
      <c r="AI15" t="s">
        <v>109</v>
      </c>
      <c r="AJ15"/>
      <c r="AK15"/>
      <c r="AL15"/>
      <c r="AM15"/>
      <c r="AN15"/>
    </row>
    <row r="16" spans="1:40" s="26" customFormat="1" x14ac:dyDescent="0.2">
      <c r="A16" t="s">
        <v>106</v>
      </c>
      <c r="B16" t="s">
        <v>83</v>
      </c>
      <c r="C16" t="s">
        <v>84</v>
      </c>
      <c r="D16" t="s">
        <v>85</v>
      </c>
      <c r="E16" t="s">
        <v>103</v>
      </c>
      <c r="F16" t="s">
        <v>84</v>
      </c>
      <c r="G16" t="s">
        <v>100</v>
      </c>
      <c r="H16" t="s">
        <v>104</v>
      </c>
      <c r="I16" t="s">
        <v>105</v>
      </c>
      <c r="J16" t="s">
        <v>89</v>
      </c>
      <c r="K16" s="27">
        <v>2030</v>
      </c>
      <c r="L16">
        <v>2018</v>
      </c>
      <c r="M16">
        <v>15</v>
      </c>
      <c r="N16"/>
      <c r="O16" t="s">
        <v>109</v>
      </c>
      <c r="P16" t="s">
        <v>61</v>
      </c>
      <c r="Q16" t="s">
        <v>90</v>
      </c>
      <c r="R16">
        <v>63.419583967529199</v>
      </c>
      <c r="S16" t="s">
        <v>61</v>
      </c>
      <c r="T16">
        <v>1.1027361972715699</v>
      </c>
      <c r="U16" t="s">
        <v>107</v>
      </c>
      <c r="V16">
        <v>0</v>
      </c>
      <c r="W16" t="s">
        <v>93</v>
      </c>
      <c r="X16"/>
      <c r="Y16"/>
      <c r="Z16">
        <v>0.7</v>
      </c>
      <c r="AA16"/>
      <c r="AB16">
        <v>1</v>
      </c>
      <c r="AC16" t="s">
        <v>108</v>
      </c>
      <c r="AD16" s="27">
        <v>45.684447751273296</v>
      </c>
      <c r="AE16" t="s">
        <v>109</v>
      </c>
      <c r="AF16">
        <v>1</v>
      </c>
      <c r="AG16" t="s">
        <v>109</v>
      </c>
      <c r="AH16">
        <v>0.67424888427398</v>
      </c>
      <c r="AI16" t="s">
        <v>109</v>
      </c>
      <c r="AJ16"/>
      <c r="AK16"/>
      <c r="AL16"/>
      <c r="AM16"/>
      <c r="AN16"/>
    </row>
    <row r="17" spans="1:40" s="26" customFormat="1" x14ac:dyDescent="0.2">
      <c r="A17" t="s">
        <v>106</v>
      </c>
      <c r="B17" t="s">
        <v>83</v>
      </c>
      <c r="C17" t="s">
        <v>84</v>
      </c>
      <c r="D17" t="s">
        <v>85</v>
      </c>
      <c r="E17" t="s">
        <v>103</v>
      </c>
      <c r="F17" t="s">
        <v>84</v>
      </c>
      <c r="G17" t="s">
        <v>100</v>
      </c>
      <c r="H17" t="s">
        <v>104</v>
      </c>
      <c r="I17" t="s">
        <v>105</v>
      </c>
      <c r="J17" t="s">
        <v>89</v>
      </c>
      <c r="K17" s="27">
        <v>2042</v>
      </c>
      <c r="L17">
        <v>2018</v>
      </c>
      <c r="M17">
        <v>15</v>
      </c>
      <c r="N17"/>
      <c r="O17" t="s">
        <v>109</v>
      </c>
      <c r="P17" t="s">
        <v>61</v>
      </c>
      <c r="Q17" t="s">
        <v>90</v>
      </c>
      <c r="R17">
        <v>63.419583967529199</v>
      </c>
      <c r="S17" t="s">
        <v>61</v>
      </c>
      <c r="T17">
        <v>1.1027361972715699</v>
      </c>
      <c r="U17" t="s">
        <v>107</v>
      </c>
      <c r="V17">
        <v>0</v>
      </c>
      <c r="W17" t="s">
        <v>93</v>
      </c>
      <c r="X17"/>
      <c r="Y17"/>
      <c r="Z17">
        <v>0.7</v>
      </c>
      <c r="AA17"/>
      <c r="AB17">
        <v>1</v>
      </c>
      <c r="AC17" t="s">
        <v>108</v>
      </c>
      <c r="AD17" s="27">
        <v>45.072855347745502</v>
      </c>
      <c r="AE17" t="s">
        <v>109</v>
      </c>
      <c r="AF17">
        <v>1</v>
      </c>
      <c r="AG17" t="s">
        <v>109</v>
      </c>
      <c r="AH17">
        <v>0.67424888427398</v>
      </c>
      <c r="AI17" t="s">
        <v>109</v>
      </c>
      <c r="AJ17"/>
      <c r="AK17"/>
      <c r="AL17"/>
      <c r="AM17"/>
      <c r="AN17"/>
    </row>
    <row r="18" spans="1:40" s="26" customFormat="1" x14ac:dyDescent="0.2">
      <c r="A18" t="s">
        <v>106</v>
      </c>
      <c r="B18" t="s">
        <v>83</v>
      </c>
      <c r="C18" t="s">
        <v>84</v>
      </c>
      <c r="D18" t="s">
        <v>85</v>
      </c>
      <c r="E18" t="s">
        <v>103</v>
      </c>
      <c r="F18" t="s">
        <v>84</v>
      </c>
      <c r="G18" t="s">
        <v>100</v>
      </c>
      <c r="H18" t="s">
        <v>104</v>
      </c>
      <c r="I18" t="s">
        <v>105</v>
      </c>
      <c r="J18" t="s">
        <v>89</v>
      </c>
      <c r="K18" s="27">
        <v>2044</v>
      </c>
      <c r="L18">
        <v>2018</v>
      </c>
      <c r="M18">
        <v>15</v>
      </c>
      <c r="N18"/>
      <c r="O18" t="s">
        <v>109</v>
      </c>
      <c r="P18" t="s">
        <v>61</v>
      </c>
      <c r="Q18" t="s">
        <v>90</v>
      </c>
      <c r="R18">
        <v>63.419583967529199</v>
      </c>
      <c r="S18" t="s">
        <v>61</v>
      </c>
      <c r="T18">
        <v>1.1027361972715699</v>
      </c>
      <c r="U18" t="s">
        <v>107</v>
      </c>
      <c r="V18">
        <v>0</v>
      </c>
      <c r="W18" t="s">
        <v>93</v>
      </c>
      <c r="X18"/>
      <c r="Y18"/>
      <c r="Z18">
        <v>0.7</v>
      </c>
      <c r="AA18"/>
      <c r="AB18">
        <v>1</v>
      </c>
      <c r="AC18" t="s">
        <v>108</v>
      </c>
      <c r="AD18" s="27">
        <v>44.461262944217701</v>
      </c>
      <c r="AE18" t="s">
        <v>109</v>
      </c>
      <c r="AF18">
        <v>1</v>
      </c>
      <c r="AG18" t="s">
        <v>109</v>
      </c>
      <c r="AH18">
        <v>0.67424888427398</v>
      </c>
      <c r="AI18" t="s">
        <v>109</v>
      </c>
      <c r="AJ18"/>
      <c r="AK18"/>
      <c r="AL18"/>
      <c r="AM18"/>
      <c r="AN18"/>
    </row>
    <row r="19" spans="1:40" s="26" customFormat="1" x14ac:dyDescent="0.2">
      <c r="A19" t="s">
        <v>106</v>
      </c>
      <c r="B19" t="s">
        <v>83</v>
      </c>
      <c r="C19" t="s">
        <v>84</v>
      </c>
      <c r="D19" t="s">
        <v>85</v>
      </c>
      <c r="E19" t="s">
        <v>103</v>
      </c>
      <c r="F19" t="s">
        <v>84</v>
      </c>
      <c r="G19" t="s">
        <v>100</v>
      </c>
      <c r="H19" t="s">
        <v>104</v>
      </c>
      <c r="I19" t="s">
        <v>105</v>
      </c>
      <c r="J19" t="s">
        <v>89</v>
      </c>
      <c r="K19" s="27">
        <v>2046</v>
      </c>
      <c r="L19">
        <v>2018</v>
      </c>
      <c r="M19">
        <v>15</v>
      </c>
      <c r="N19"/>
      <c r="O19" t="s">
        <v>109</v>
      </c>
      <c r="P19" t="s">
        <v>61</v>
      </c>
      <c r="Q19" t="s">
        <v>90</v>
      </c>
      <c r="R19">
        <v>63.419583967529199</v>
      </c>
      <c r="S19" t="s">
        <v>61</v>
      </c>
      <c r="T19">
        <v>1.1027361972715699</v>
      </c>
      <c r="U19" t="s">
        <v>107</v>
      </c>
      <c r="V19">
        <v>0</v>
      </c>
      <c r="W19" t="s">
        <v>93</v>
      </c>
      <c r="X19"/>
      <c r="Y19"/>
      <c r="Z19">
        <v>0.7</v>
      </c>
      <c r="AA19"/>
      <c r="AB19">
        <v>1</v>
      </c>
      <c r="AC19" t="s">
        <v>108</v>
      </c>
      <c r="AD19" s="27">
        <v>43.8496705406899</v>
      </c>
      <c r="AE19" t="s">
        <v>109</v>
      </c>
      <c r="AF19">
        <v>1</v>
      </c>
      <c r="AG19" t="s">
        <v>109</v>
      </c>
      <c r="AH19">
        <v>0.67424888427398</v>
      </c>
      <c r="AI19" t="s">
        <v>109</v>
      </c>
      <c r="AJ19"/>
      <c r="AK19"/>
      <c r="AL19"/>
      <c r="AM19"/>
      <c r="AN19"/>
    </row>
    <row r="20" spans="1:40" s="26" customFormat="1" x14ac:dyDescent="0.2">
      <c r="A20" t="s">
        <v>106</v>
      </c>
      <c r="B20" t="s">
        <v>83</v>
      </c>
      <c r="C20" t="s">
        <v>84</v>
      </c>
      <c r="D20" t="s">
        <v>85</v>
      </c>
      <c r="E20" t="s">
        <v>103</v>
      </c>
      <c r="F20" t="s">
        <v>84</v>
      </c>
      <c r="G20" t="s">
        <v>100</v>
      </c>
      <c r="H20" t="s">
        <v>104</v>
      </c>
      <c r="I20" t="s">
        <v>105</v>
      </c>
      <c r="J20" t="s">
        <v>89</v>
      </c>
      <c r="K20" s="27">
        <v>2048</v>
      </c>
      <c r="L20">
        <v>2018</v>
      </c>
      <c r="M20">
        <v>15</v>
      </c>
      <c r="N20"/>
      <c r="O20" t="s">
        <v>109</v>
      </c>
      <c r="P20" t="s">
        <v>61</v>
      </c>
      <c r="Q20" t="s">
        <v>90</v>
      </c>
      <c r="R20">
        <v>63.419583967529199</v>
      </c>
      <c r="S20" t="s">
        <v>61</v>
      </c>
      <c r="T20">
        <v>1.1027361972715699</v>
      </c>
      <c r="U20" t="s">
        <v>107</v>
      </c>
      <c r="V20">
        <v>0</v>
      </c>
      <c r="W20" t="s">
        <v>93</v>
      </c>
      <c r="X20"/>
      <c r="Y20"/>
      <c r="Z20">
        <v>0.7</v>
      </c>
      <c r="AA20"/>
      <c r="AB20">
        <v>1</v>
      </c>
      <c r="AC20" t="s">
        <v>108</v>
      </c>
      <c r="AD20" s="27">
        <v>43.238078137162098</v>
      </c>
      <c r="AE20" t="s">
        <v>109</v>
      </c>
      <c r="AF20">
        <v>1</v>
      </c>
      <c r="AG20" t="s">
        <v>109</v>
      </c>
      <c r="AH20">
        <v>0.67424888427398</v>
      </c>
      <c r="AI20" t="s">
        <v>109</v>
      </c>
      <c r="AJ20"/>
      <c r="AK20"/>
      <c r="AL20"/>
      <c r="AM20"/>
      <c r="AN20"/>
    </row>
    <row r="21" spans="1:40" s="26" customFormat="1" x14ac:dyDescent="0.2">
      <c r="A21" t="s">
        <v>106</v>
      </c>
      <c r="B21" t="s">
        <v>83</v>
      </c>
      <c r="C21" t="s">
        <v>84</v>
      </c>
      <c r="D21" t="s">
        <v>85</v>
      </c>
      <c r="E21" t="s">
        <v>103</v>
      </c>
      <c r="F21" t="s">
        <v>84</v>
      </c>
      <c r="G21" t="s">
        <v>100</v>
      </c>
      <c r="H21" t="s">
        <v>104</v>
      </c>
      <c r="I21" t="s">
        <v>105</v>
      </c>
      <c r="J21" t="s">
        <v>89</v>
      </c>
      <c r="K21" s="27">
        <v>2050</v>
      </c>
      <c r="L21">
        <v>2018</v>
      </c>
      <c r="M21">
        <v>15</v>
      </c>
      <c r="N21"/>
      <c r="O21" t="s">
        <v>109</v>
      </c>
      <c r="P21" t="s">
        <v>61</v>
      </c>
      <c r="Q21" t="s">
        <v>90</v>
      </c>
      <c r="R21">
        <v>63.419583967529199</v>
      </c>
      <c r="S21" t="s">
        <v>61</v>
      </c>
      <c r="T21">
        <v>1.1027361972715699</v>
      </c>
      <c r="U21" t="s">
        <v>107</v>
      </c>
      <c r="V21">
        <v>0</v>
      </c>
      <c r="W21" t="s">
        <v>93</v>
      </c>
      <c r="X21"/>
      <c r="Y21"/>
      <c r="Z21">
        <v>0.7</v>
      </c>
      <c r="AA21"/>
      <c r="AB21">
        <v>1</v>
      </c>
      <c r="AC21" t="s">
        <v>108</v>
      </c>
      <c r="AD21" s="27">
        <v>42.626485733634297</v>
      </c>
      <c r="AE21" t="s">
        <v>109</v>
      </c>
      <c r="AF21">
        <v>1</v>
      </c>
      <c r="AG21" t="s">
        <v>109</v>
      </c>
      <c r="AH21">
        <v>0.67424888427398</v>
      </c>
      <c r="AI21" t="s">
        <v>109</v>
      </c>
      <c r="AJ21"/>
      <c r="AK21"/>
      <c r="AL21"/>
      <c r="AM21"/>
      <c r="AN21"/>
    </row>
  </sheetData>
  <mergeCells count="14">
    <mergeCell ref="B1:F1"/>
    <mergeCell ref="H1:M1"/>
    <mergeCell ref="O1:W1"/>
    <mergeCell ref="O4:P4"/>
    <mergeCell ref="R4:U4"/>
    <mergeCell ref="V4:W4"/>
    <mergeCell ref="Z1:AG1"/>
    <mergeCell ref="AH1:AI1"/>
    <mergeCell ref="AJ1:AL2"/>
    <mergeCell ref="R9:S9"/>
    <mergeCell ref="T9:U9"/>
    <mergeCell ref="V9:W9"/>
    <mergeCell ref="Z4:AG4"/>
    <mergeCell ref="AH4:AI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D566-B13F-4FA9-9E14-CD9A1811A9AA}">
  <dimension ref="A1:AN36"/>
  <sheetViews>
    <sheetView topLeftCell="R1" zoomScale="80" zoomScaleNormal="80" workbookViewId="0">
      <selection activeCell="N2" sqref="N2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6" width="9" bestFit="1" customWidth="1"/>
    <col min="27" max="27" width="9" customWidth="1"/>
    <col min="28" max="28" width="15.6640625" bestFit="1" customWidth="1"/>
    <col min="29" max="29" width="27.1640625" bestFit="1" customWidth="1"/>
    <col min="30" max="30" width="18.1640625" customWidth="1"/>
    <col min="31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48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53" t="s">
        <v>148</v>
      </c>
      <c r="W9" s="45"/>
      <c r="X9" s="30"/>
      <c r="Y9" s="30"/>
      <c r="Z9" s="8"/>
      <c r="AA9" s="8"/>
      <c r="AB9" s="25" t="s">
        <v>99</v>
      </c>
      <c r="AC9" s="8"/>
      <c r="AD9" s="8" t="s">
        <v>111</v>
      </c>
      <c r="AE9" s="8"/>
      <c r="AF9" s="8"/>
      <c r="AG9" s="8" t="s">
        <v>81</v>
      </c>
      <c r="AH9" s="10"/>
      <c r="AI9" s="10"/>
      <c r="AJ9" s="8"/>
      <c r="AK9" s="8"/>
      <c r="AL9" s="8" t="s">
        <v>81</v>
      </c>
    </row>
    <row r="10" spans="1:40" s="26" customFormat="1" x14ac:dyDescent="0.2">
      <c r="A10" t="s">
        <v>112</v>
      </c>
      <c r="B10" t="s">
        <v>83</v>
      </c>
      <c r="C10" t="s">
        <v>84</v>
      </c>
      <c r="D10" t="s">
        <v>85</v>
      </c>
      <c r="E10" t="s">
        <v>113</v>
      </c>
      <c r="F10" t="s">
        <v>84</v>
      </c>
      <c r="G10" t="s">
        <v>100</v>
      </c>
      <c r="H10" t="s">
        <v>114</v>
      </c>
      <c r="I10" t="s">
        <v>115</v>
      </c>
      <c r="J10" t="s">
        <v>89</v>
      </c>
      <c r="K10" s="27">
        <v>2018</v>
      </c>
      <c r="L10">
        <v>2018</v>
      </c>
      <c r="M10" t="s">
        <v>109</v>
      </c>
      <c r="N10"/>
      <c r="O10">
        <v>94.6</v>
      </c>
      <c r="P10" t="s">
        <v>61</v>
      </c>
      <c r="Q10" t="s">
        <v>90</v>
      </c>
      <c r="R10" t="s">
        <v>109</v>
      </c>
      <c r="S10" t="s">
        <v>61</v>
      </c>
      <c r="T10" t="s">
        <v>109</v>
      </c>
      <c r="U10" t="s">
        <v>107</v>
      </c>
      <c r="V10">
        <v>4.9297921017074069</v>
      </c>
      <c r="W10" t="s">
        <v>93</v>
      </c>
      <c r="X10"/>
      <c r="Y10"/>
      <c r="Z10" t="s">
        <v>109</v>
      </c>
      <c r="AA10"/>
      <c r="AB10">
        <v>1</v>
      </c>
      <c r="AC10" t="s">
        <v>117</v>
      </c>
      <c r="AD10" t="s">
        <v>109</v>
      </c>
      <c r="AE10" t="s">
        <v>109</v>
      </c>
      <c r="AF10" t="s">
        <v>109</v>
      </c>
      <c r="AG10" t="s">
        <v>109</v>
      </c>
      <c r="AH10" t="s">
        <v>109</v>
      </c>
      <c r="AI10" t="s">
        <v>109</v>
      </c>
      <c r="AJ10"/>
      <c r="AK10"/>
      <c r="AL10"/>
      <c r="AM10"/>
      <c r="AN10"/>
    </row>
    <row r="11" spans="1:40" s="26" customFormat="1" x14ac:dyDescent="0.2">
      <c r="A11" t="s">
        <v>112</v>
      </c>
      <c r="B11" t="s">
        <v>83</v>
      </c>
      <c r="C11" t="s">
        <v>84</v>
      </c>
      <c r="D11" t="s">
        <v>85</v>
      </c>
      <c r="E11" t="s">
        <v>113</v>
      </c>
      <c r="F11" t="s">
        <v>84</v>
      </c>
      <c r="G11" t="s">
        <v>100</v>
      </c>
      <c r="H11" t="s">
        <v>114</v>
      </c>
      <c r="I11" t="s">
        <v>115</v>
      </c>
      <c r="J11" t="s">
        <v>89</v>
      </c>
      <c r="K11" s="27">
        <v>2020</v>
      </c>
      <c r="L11">
        <v>2018</v>
      </c>
      <c r="M11" t="s">
        <v>109</v>
      </c>
      <c r="N11"/>
      <c r="O11">
        <v>94.6</v>
      </c>
      <c r="P11" t="s">
        <v>61</v>
      </c>
      <c r="Q11" t="s">
        <v>90</v>
      </c>
      <c r="R11" t="s">
        <v>109</v>
      </c>
      <c r="S11" t="s">
        <v>61</v>
      </c>
      <c r="T11" t="s">
        <v>109</v>
      </c>
      <c r="U11" t="s">
        <v>107</v>
      </c>
      <c r="V11" t="e">
        <f>SUMIFS([1]Data_BY!E$2:E$51,[1]Data_BY!$B$2:$B$51,[1]Import!$K7)</f>
        <v>#VALUE!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2">
      <c r="A12" t="s">
        <v>112</v>
      </c>
      <c r="B12" t="s">
        <v>83</v>
      </c>
      <c r="C12" t="s">
        <v>84</v>
      </c>
      <c r="D12" t="s">
        <v>85</v>
      </c>
      <c r="E12" t="s">
        <v>113</v>
      </c>
      <c r="F12" t="s">
        <v>84</v>
      </c>
      <c r="G12" t="s">
        <v>100</v>
      </c>
      <c r="H12" t="s">
        <v>114</v>
      </c>
      <c r="I12" t="s">
        <v>115</v>
      </c>
      <c r="J12" t="s">
        <v>89</v>
      </c>
      <c r="K12" s="27">
        <v>2022</v>
      </c>
      <c r="L12">
        <v>2018</v>
      </c>
      <c r="M12" t="s">
        <v>109</v>
      </c>
      <c r="N12"/>
      <c r="O12">
        <v>94.6</v>
      </c>
      <c r="P12" t="s">
        <v>61</v>
      </c>
      <c r="Q12" t="s">
        <v>90</v>
      </c>
      <c r="R12" t="s">
        <v>109</v>
      </c>
      <c r="S12" t="s">
        <v>61</v>
      </c>
      <c r="T12" t="s">
        <v>109</v>
      </c>
      <c r="U12" t="s">
        <v>107</v>
      </c>
      <c r="V12" t="e">
        <f>SUMIFS([1]Data_BY!F$2:F$51,[1]Data_BY!$B$2:$B$51,[1]Import!$K7)</f>
        <v>#VALUE!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2">
      <c r="A13" t="s">
        <v>112</v>
      </c>
      <c r="B13" t="s">
        <v>83</v>
      </c>
      <c r="C13" t="s">
        <v>84</v>
      </c>
      <c r="D13" t="s">
        <v>85</v>
      </c>
      <c r="E13" t="s">
        <v>113</v>
      </c>
      <c r="F13" t="s">
        <v>84</v>
      </c>
      <c r="G13" t="s">
        <v>100</v>
      </c>
      <c r="H13" t="s">
        <v>114</v>
      </c>
      <c r="I13" t="s">
        <v>115</v>
      </c>
      <c r="J13" t="s">
        <v>89</v>
      </c>
      <c r="K13" s="27">
        <v>2024</v>
      </c>
      <c r="L13">
        <v>2018</v>
      </c>
      <c r="M13" t="s">
        <v>109</v>
      </c>
      <c r="N13"/>
      <c r="O13">
        <v>94.6</v>
      </c>
      <c r="P13" t="s">
        <v>61</v>
      </c>
      <c r="Q13" t="s">
        <v>90</v>
      </c>
      <c r="R13" t="s">
        <v>109</v>
      </c>
      <c r="S13" t="s">
        <v>61</v>
      </c>
      <c r="T13" t="s">
        <v>109</v>
      </c>
      <c r="U13" t="s">
        <v>107</v>
      </c>
      <c r="V13" t="e">
        <f>SUMIFS([1]Data_BY!G$2:G$51,[1]Data_BY!$B$2:$B$51,[1]Import!$K7)</f>
        <v>#VALUE!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2">
      <c r="A14" t="s">
        <v>112</v>
      </c>
      <c r="B14" t="s">
        <v>83</v>
      </c>
      <c r="C14" t="s">
        <v>84</v>
      </c>
      <c r="D14" t="s">
        <v>85</v>
      </c>
      <c r="E14" t="s">
        <v>113</v>
      </c>
      <c r="F14" t="s">
        <v>84</v>
      </c>
      <c r="G14" t="s">
        <v>100</v>
      </c>
      <c r="H14" t="s">
        <v>114</v>
      </c>
      <c r="I14" t="s">
        <v>115</v>
      </c>
      <c r="J14" t="s">
        <v>89</v>
      </c>
      <c r="K14" s="27">
        <v>2026</v>
      </c>
      <c r="L14">
        <v>2018</v>
      </c>
      <c r="M14" t="s">
        <v>109</v>
      </c>
      <c r="N14"/>
      <c r="O14">
        <v>94.6</v>
      </c>
      <c r="P14" t="s">
        <v>61</v>
      </c>
      <c r="Q14" t="s">
        <v>90</v>
      </c>
      <c r="R14" t="s">
        <v>109</v>
      </c>
      <c r="S14" t="s">
        <v>61</v>
      </c>
      <c r="T14" t="s">
        <v>109</v>
      </c>
      <c r="U14" t="s">
        <v>107</v>
      </c>
      <c r="V14" t="e">
        <f>SUMIFS([1]Data_BY!H$2:H$51,[1]Data_BY!$B$2:$B$51,[1]Import!$K7)</f>
        <v>#VALUE!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2">
      <c r="A15" t="s">
        <v>112</v>
      </c>
      <c r="B15" t="s">
        <v>83</v>
      </c>
      <c r="C15" t="s">
        <v>84</v>
      </c>
      <c r="D15" t="s">
        <v>85</v>
      </c>
      <c r="E15" t="s">
        <v>113</v>
      </c>
      <c r="F15" t="s">
        <v>84</v>
      </c>
      <c r="G15" t="s">
        <v>100</v>
      </c>
      <c r="H15" t="s">
        <v>114</v>
      </c>
      <c r="I15" t="s">
        <v>115</v>
      </c>
      <c r="J15" t="s">
        <v>89</v>
      </c>
      <c r="K15" s="27">
        <v>2028</v>
      </c>
      <c r="L15">
        <v>2018</v>
      </c>
      <c r="M15" t="s">
        <v>109</v>
      </c>
      <c r="N15"/>
      <c r="O15">
        <v>94.6</v>
      </c>
      <c r="P15" t="s">
        <v>61</v>
      </c>
      <c r="Q15" t="s">
        <v>90</v>
      </c>
      <c r="R15" t="s">
        <v>109</v>
      </c>
      <c r="S15" t="s">
        <v>61</v>
      </c>
      <c r="T15" t="s">
        <v>109</v>
      </c>
      <c r="U15" t="s">
        <v>107</v>
      </c>
      <c r="V15" t="e">
        <f>SUMIFS([1]Data_BY!I$2:I$51,[1]Data_BY!$B$2:$B$51,[1]Import!$K7)</f>
        <v>#VALUE!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2">
      <c r="A16" t="s">
        <v>112</v>
      </c>
      <c r="B16" t="s">
        <v>83</v>
      </c>
      <c r="C16" t="s">
        <v>84</v>
      </c>
      <c r="D16" t="s">
        <v>85</v>
      </c>
      <c r="E16" t="s">
        <v>113</v>
      </c>
      <c r="F16" t="s">
        <v>84</v>
      </c>
      <c r="G16" t="s">
        <v>100</v>
      </c>
      <c r="H16" t="s">
        <v>114</v>
      </c>
      <c r="I16" t="s">
        <v>115</v>
      </c>
      <c r="J16" t="s">
        <v>89</v>
      </c>
      <c r="K16" s="27">
        <v>2030</v>
      </c>
      <c r="L16">
        <v>2018</v>
      </c>
      <c r="M16" t="s">
        <v>109</v>
      </c>
      <c r="N16"/>
      <c r="O16">
        <v>94.6</v>
      </c>
      <c r="P16" t="s">
        <v>61</v>
      </c>
      <c r="Q16" t="s">
        <v>90</v>
      </c>
      <c r="R16" t="s">
        <v>109</v>
      </c>
      <c r="S16" t="s">
        <v>61</v>
      </c>
      <c r="T16" t="s">
        <v>109</v>
      </c>
      <c r="U16" t="s">
        <v>107</v>
      </c>
      <c r="V16" t="e">
        <f>SUMIFS([1]Data_BY!J$2:J$51,[1]Data_BY!$B$2:$B$51,[1]Import!$K7)</f>
        <v>#VALUE!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2">
      <c r="A17" t="s">
        <v>112</v>
      </c>
      <c r="B17" t="s">
        <v>83</v>
      </c>
      <c r="C17" t="s">
        <v>84</v>
      </c>
      <c r="D17" t="s">
        <v>85</v>
      </c>
      <c r="E17" t="s">
        <v>113</v>
      </c>
      <c r="F17" t="s">
        <v>84</v>
      </c>
      <c r="G17" t="s">
        <v>100</v>
      </c>
      <c r="H17" t="s">
        <v>114</v>
      </c>
      <c r="I17" t="s">
        <v>115</v>
      </c>
      <c r="J17" t="s">
        <v>89</v>
      </c>
      <c r="K17" s="27">
        <v>2032</v>
      </c>
      <c r="L17">
        <v>2018</v>
      </c>
      <c r="M17" t="s">
        <v>109</v>
      </c>
      <c r="N17"/>
      <c r="O17">
        <v>94.6</v>
      </c>
      <c r="P17" t="s">
        <v>61</v>
      </c>
      <c r="Q17" t="s">
        <v>90</v>
      </c>
      <c r="R17" t="s">
        <v>109</v>
      </c>
      <c r="S17" t="s">
        <v>61</v>
      </c>
      <c r="T17" t="s">
        <v>109</v>
      </c>
      <c r="U17" t="s">
        <v>107</v>
      </c>
      <c r="V17" t="e">
        <f>SUMIFS([1]Data_BY!K$2:K$51,[1]Data_BY!$B$2:$B$51,[1]Import!$K7)</f>
        <v>#VALUE!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2">
      <c r="A18" t="s">
        <v>112</v>
      </c>
      <c r="B18" t="s">
        <v>83</v>
      </c>
      <c r="C18" t="s">
        <v>84</v>
      </c>
      <c r="D18" t="s">
        <v>85</v>
      </c>
      <c r="E18" t="s">
        <v>113</v>
      </c>
      <c r="F18" t="s">
        <v>84</v>
      </c>
      <c r="G18" t="s">
        <v>100</v>
      </c>
      <c r="H18" t="s">
        <v>114</v>
      </c>
      <c r="I18" t="s">
        <v>115</v>
      </c>
      <c r="J18" t="s">
        <v>89</v>
      </c>
      <c r="K18" s="27">
        <v>2034</v>
      </c>
      <c r="L18">
        <v>2018</v>
      </c>
      <c r="M18" t="s">
        <v>109</v>
      </c>
      <c r="N18"/>
      <c r="O18">
        <v>94.6</v>
      </c>
      <c r="P18" t="s">
        <v>61</v>
      </c>
      <c r="Q18" t="s">
        <v>90</v>
      </c>
      <c r="R18" t="s">
        <v>109</v>
      </c>
      <c r="S18" t="s">
        <v>61</v>
      </c>
      <c r="T18" t="s">
        <v>109</v>
      </c>
      <c r="U18" t="s">
        <v>107</v>
      </c>
      <c r="V18" t="e">
        <f>SUMIFS([1]Data_BY!L$2:L$51,[1]Data_BY!$B$2:$B$51,[1]Import!$K7)</f>
        <v>#VALUE!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2">
      <c r="A19" t="s">
        <v>112</v>
      </c>
      <c r="B19" t="s">
        <v>83</v>
      </c>
      <c r="C19" t="s">
        <v>84</v>
      </c>
      <c r="D19" t="s">
        <v>85</v>
      </c>
      <c r="E19" t="s">
        <v>113</v>
      </c>
      <c r="F19" t="s">
        <v>84</v>
      </c>
      <c r="G19" t="s">
        <v>100</v>
      </c>
      <c r="H19" t="s">
        <v>114</v>
      </c>
      <c r="I19" t="s">
        <v>115</v>
      </c>
      <c r="J19" t="s">
        <v>89</v>
      </c>
      <c r="K19" s="27">
        <v>2036</v>
      </c>
      <c r="L19">
        <v>2018</v>
      </c>
      <c r="M19" t="s">
        <v>109</v>
      </c>
      <c r="N19"/>
      <c r="O19">
        <v>94.6</v>
      </c>
      <c r="P19" t="s">
        <v>61</v>
      </c>
      <c r="Q19" t="s">
        <v>90</v>
      </c>
      <c r="R19" t="s">
        <v>109</v>
      </c>
      <c r="S19" t="s">
        <v>61</v>
      </c>
      <c r="T19" t="s">
        <v>109</v>
      </c>
      <c r="U19" t="s">
        <v>107</v>
      </c>
      <c r="V19" t="e">
        <f>SUMIFS([1]Data_BY!M$2:M$51,[1]Data_BY!$B$2:$B$51,[1]Import!$K7)</f>
        <v>#VALUE!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2">
      <c r="A20" t="s">
        <v>112</v>
      </c>
      <c r="B20" t="s">
        <v>83</v>
      </c>
      <c r="C20" t="s">
        <v>84</v>
      </c>
      <c r="D20" t="s">
        <v>85</v>
      </c>
      <c r="E20" t="s">
        <v>113</v>
      </c>
      <c r="F20" t="s">
        <v>84</v>
      </c>
      <c r="G20" t="s">
        <v>100</v>
      </c>
      <c r="H20" t="s">
        <v>114</v>
      </c>
      <c r="I20" t="s">
        <v>115</v>
      </c>
      <c r="J20" t="s">
        <v>89</v>
      </c>
      <c r="K20" s="27">
        <v>2038</v>
      </c>
      <c r="L20">
        <v>2018</v>
      </c>
      <c r="M20" t="s">
        <v>109</v>
      </c>
      <c r="N20"/>
      <c r="O20">
        <v>94.6</v>
      </c>
      <c r="P20" t="s">
        <v>61</v>
      </c>
      <c r="Q20" t="s">
        <v>90</v>
      </c>
      <c r="R20" t="s">
        <v>109</v>
      </c>
      <c r="S20" t="s">
        <v>61</v>
      </c>
      <c r="T20" t="s">
        <v>109</v>
      </c>
      <c r="U20" t="s">
        <v>107</v>
      </c>
      <c r="V20" t="e">
        <f>SUMIFS([1]Data_BY!N$2:N$51,[1]Data_BY!$B$2:$B$51,[1]Import!$K7)</f>
        <v>#VALUE!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2">
      <c r="A21" t="s">
        <v>112</v>
      </c>
      <c r="B21" t="s">
        <v>83</v>
      </c>
      <c r="C21" t="s">
        <v>84</v>
      </c>
      <c r="D21" t="s">
        <v>85</v>
      </c>
      <c r="E21" t="s">
        <v>113</v>
      </c>
      <c r="F21" t="s">
        <v>84</v>
      </c>
      <c r="G21" t="s">
        <v>100</v>
      </c>
      <c r="H21" t="s">
        <v>114</v>
      </c>
      <c r="I21" t="s">
        <v>115</v>
      </c>
      <c r="J21" t="s">
        <v>89</v>
      </c>
      <c r="K21" s="27">
        <v>2040</v>
      </c>
      <c r="L21">
        <v>2018</v>
      </c>
      <c r="M21" t="s">
        <v>109</v>
      </c>
      <c r="N21"/>
      <c r="O21">
        <v>94.6</v>
      </c>
      <c r="P21" t="s">
        <v>61</v>
      </c>
      <c r="Q21" t="s">
        <v>90</v>
      </c>
      <c r="R21" t="s">
        <v>109</v>
      </c>
      <c r="S21" t="s">
        <v>61</v>
      </c>
      <c r="T21" t="s">
        <v>109</v>
      </c>
      <c r="U21" t="s">
        <v>107</v>
      </c>
      <c r="V21" t="e">
        <f>SUMIFS([1]Data_BY!O$2:O$51,[1]Data_BY!$B$2:$B$51,[1]Import!$K7)</f>
        <v>#VALUE!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x14ac:dyDescent="0.2">
      <c r="A22" t="s">
        <v>112</v>
      </c>
      <c r="B22" t="s">
        <v>83</v>
      </c>
      <c r="C22" t="s">
        <v>84</v>
      </c>
      <c r="D22" t="s">
        <v>85</v>
      </c>
      <c r="E22" t="s">
        <v>113</v>
      </c>
      <c r="F22" t="s">
        <v>84</v>
      </c>
      <c r="G22" t="s">
        <v>100</v>
      </c>
      <c r="H22" t="s">
        <v>114</v>
      </c>
      <c r="I22" t="s">
        <v>115</v>
      </c>
      <c r="J22" t="s">
        <v>89</v>
      </c>
      <c r="K22" s="27">
        <v>2042</v>
      </c>
      <c r="L22">
        <v>2018</v>
      </c>
      <c r="M22" t="s">
        <v>109</v>
      </c>
      <c r="O22">
        <v>94.6</v>
      </c>
      <c r="P22" t="s">
        <v>61</v>
      </c>
      <c r="Q22" t="s">
        <v>90</v>
      </c>
      <c r="R22" t="s">
        <v>109</v>
      </c>
      <c r="S22" t="s">
        <v>61</v>
      </c>
      <c r="T22" t="s">
        <v>109</v>
      </c>
      <c r="U22" t="s">
        <v>107</v>
      </c>
      <c r="V22" t="e">
        <f>SUMIFS([1]Data_BY!P$2:P$51,[1]Data_BY!$B$2:$B$51,[1]Import!$K7)</f>
        <v>#VALUE!</v>
      </c>
    </row>
    <row r="23" spans="1:40" x14ac:dyDescent="0.2">
      <c r="A23" t="s">
        <v>112</v>
      </c>
      <c r="B23" t="s">
        <v>83</v>
      </c>
      <c r="C23" t="s">
        <v>84</v>
      </c>
      <c r="D23" t="s">
        <v>85</v>
      </c>
      <c r="E23" t="s">
        <v>113</v>
      </c>
      <c r="F23" t="s">
        <v>84</v>
      </c>
      <c r="G23" t="s">
        <v>100</v>
      </c>
      <c r="H23" t="s">
        <v>114</v>
      </c>
      <c r="I23" t="s">
        <v>115</v>
      </c>
      <c r="J23" t="s">
        <v>89</v>
      </c>
      <c r="K23" s="27">
        <v>2044</v>
      </c>
      <c r="L23">
        <v>2018</v>
      </c>
      <c r="M23" t="s">
        <v>109</v>
      </c>
      <c r="O23">
        <v>94.6</v>
      </c>
      <c r="P23" t="s">
        <v>61</v>
      </c>
      <c r="Q23" t="s">
        <v>90</v>
      </c>
      <c r="R23" t="s">
        <v>109</v>
      </c>
      <c r="S23" t="s">
        <v>61</v>
      </c>
      <c r="T23" t="s">
        <v>109</v>
      </c>
      <c r="U23" t="s">
        <v>107</v>
      </c>
      <c r="V23" t="e">
        <f>SUMIFS([1]Data_BY!Q$2:Q$51,[1]Data_BY!$B$2:$B$51,[1]Import!$K7)</f>
        <v>#VALUE!</v>
      </c>
    </row>
    <row r="24" spans="1:40" x14ac:dyDescent="0.2">
      <c r="A24" t="s">
        <v>112</v>
      </c>
      <c r="B24" t="s">
        <v>83</v>
      </c>
      <c r="C24" t="s">
        <v>84</v>
      </c>
      <c r="D24" t="s">
        <v>85</v>
      </c>
      <c r="E24" t="s">
        <v>113</v>
      </c>
      <c r="F24" t="s">
        <v>84</v>
      </c>
      <c r="G24" t="s">
        <v>100</v>
      </c>
      <c r="H24" t="s">
        <v>114</v>
      </c>
      <c r="I24" t="s">
        <v>115</v>
      </c>
      <c r="J24" t="s">
        <v>89</v>
      </c>
      <c r="K24" s="27">
        <v>2046</v>
      </c>
      <c r="L24">
        <v>2018</v>
      </c>
      <c r="M24" t="s">
        <v>109</v>
      </c>
      <c r="O24">
        <v>94.6</v>
      </c>
      <c r="P24" t="s">
        <v>61</v>
      </c>
      <c r="Q24" t="s">
        <v>90</v>
      </c>
      <c r="R24" t="s">
        <v>109</v>
      </c>
      <c r="S24" t="s">
        <v>61</v>
      </c>
      <c r="T24" t="s">
        <v>109</v>
      </c>
      <c r="U24" t="s">
        <v>107</v>
      </c>
      <c r="V24" t="e">
        <f>SUMIFS([1]Data_BY!R$2:R$51,[1]Data_BY!$B$2:$B$51,[1]Import!$K7)</f>
        <v>#VALUE!</v>
      </c>
    </row>
    <row r="25" spans="1:40" x14ac:dyDescent="0.2">
      <c r="A25" t="s">
        <v>112</v>
      </c>
      <c r="B25" t="s">
        <v>83</v>
      </c>
      <c r="C25" t="s">
        <v>84</v>
      </c>
      <c r="D25" t="s">
        <v>85</v>
      </c>
      <c r="E25" t="s">
        <v>113</v>
      </c>
      <c r="F25" t="s">
        <v>84</v>
      </c>
      <c r="G25" t="s">
        <v>100</v>
      </c>
      <c r="H25" t="s">
        <v>114</v>
      </c>
      <c r="I25" t="s">
        <v>115</v>
      </c>
      <c r="J25" t="s">
        <v>89</v>
      </c>
      <c r="K25" s="27">
        <v>2048</v>
      </c>
      <c r="L25">
        <v>2018</v>
      </c>
      <c r="M25" t="s">
        <v>109</v>
      </c>
      <c r="O25">
        <v>94.6</v>
      </c>
      <c r="P25" t="s">
        <v>61</v>
      </c>
      <c r="Q25" t="s">
        <v>90</v>
      </c>
      <c r="R25" t="s">
        <v>109</v>
      </c>
      <c r="S25" t="s">
        <v>61</v>
      </c>
      <c r="T25" t="s">
        <v>109</v>
      </c>
      <c r="U25" t="s">
        <v>107</v>
      </c>
      <c r="V25" t="e">
        <f>SUMIFS([1]Data_BY!S$2:S$51,[1]Data_BY!$B$2:$B$51,[1]Import!$K7)</f>
        <v>#VALUE!</v>
      </c>
    </row>
    <row r="26" spans="1:40" x14ac:dyDescent="0.2">
      <c r="A26" t="s">
        <v>112</v>
      </c>
      <c r="B26" t="s">
        <v>83</v>
      </c>
      <c r="C26" t="s">
        <v>84</v>
      </c>
      <c r="D26" t="s">
        <v>85</v>
      </c>
      <c r="E26" t="s">
        <v>113</v>
      </c>
      <c r="F26" t="s">
        <v>84</v>
      </c>
      <c r="G26" t="s">
        <v>100</v>
      </c>
      <c r="H26" t="s">
        <v>114</v>
      </c>
      <c r="I26" t="s">
        <v>115</v>
      </c>
      <c r="J26" t="s">
        <v>89</v>
      </c>
      <c r="K26" s="27">
        <v>2050</v>
      </c>
      <c r="L26">
        <v>2018</v>
      </c>
      <c r="M26" t="s">
        <v>109</v>
      </c>
      <c r="O26">
        <v>94.6</v>
      </c>
      <c r="P26" t="s">
        <v>61</v>
      </c>
      <c r="Q26" t="s">
        <v>90</v>
      </c>
      <c r="R26" t="s">
        <v>109</v>
      </c>
      <c r="S26" t="s">
        <v>61</v>
      </c>
      <c r="T26" t="s">
        <v>109</v>
      </c>
      <c r="U26" t="s">
        <v>107</v>
      </c>
      <c r="V26" t="e">
        <f>SUMIFS([1]Data_BY!T$2:T$51,[1]Data_BY!$B$2:$B$51,[1]Import!$K7)</f>
        <v>#VALUE!</v>
      </c>
    </row>
    <row r="27" spans="1:40" x14ac:dyDescent="0.2">
      <c r="A27" t="s">
        <v>112</v>
      </c>
      <c r="B27" t="s">
        <v>83</v>
      </c>
      <c r="C27" t="s">
        <v>84</v>
      </c>
      <c r="D27" t="s">
        <v>85</v>
      </c>
      <c r="E27" t="s">
        <v>113</v>
      </c>
      <c r="F27" t="s">
        <v>84</v>
      </c>
      <c r="G27" t="s">
        <v>100</v>
      </c>
      <c r="H27" t="s">
        <v>114</v>
      </c>
      <c r="I27" t="s">
        <v>115</v>
      </c>
      <c r="J27" t="s">
        <v>89</v>
      </c>
      <c r="K27" s="27">
        <v>2052</v>
      </c>
      <c r="L27">
        <v>2018</v>
      </c>
      <c r="M27" t="s">
        <v>109</v>
      </c>
      <c r="O27">
        <v>94.6</v>
      </c>
      <c r="P27" t="s">
        <v>61</v>
      </c>
      <c r="Q27" t="s">
        <v>90</v>
      </c>
      <c r="R27" t="s">
        <v>109</v>
      </c>
      <c r="S27" t="s">
        <v>61</v>
      </c>
      <c r="T27" t="s">
        <v>109</v>
      </c>
      <c r="U27" t="s">
        <v>107</v>
      </c>
      <c r="V27" t="e">
        <f>SUMIFS([1]Data_BY!U$2:U$51,[1]Data_BY!$B$2:$B$51,[1]Import!$K7)</f>
        <v>#VALUE!</v>
      </c>
    </row>
    <row r="28" spans="1:40" x14ac:dyDescent="0.2">
      <c r="A28" t="s">
        <v>112</v>
      </c>
      <c r="B28" t="s">
        <v>83</v>
      </c>
      <c r="C28" t="s">
        <v>84</v>
      </c>
      <c r="D28" t="s">
        <v>85</v>
      </c>
      <c r="E28" t="s">
        <v>113</v>
      </c>
      <c r="F28" t="s">
        <v>84</v>
      </c>
      <c r="G28" t="s">
        <v>100</v>
      </c>
      <c r="H28" t="s">
        <v>114</v>
      </c>
      <c r="I28" t="s">
        <v>115</v>
      </c>
      <c r="J28" t="s">
        <v>89</v>
      </c>
      <c r="K28" s="27">
        <v>2054</v>
      </c>
      <c r="L28">
        <v>2018</v>
      </c>
      <c r="M28" t="s">
        <v>109</v>
      </c>
      <c r="O28">
        <v>94.6</v>
      </c>
      <c r="P28" t="s">
        <v>61</v>
      </c>
      <c r="Q28" t="s">
        <v>90</v>
      </c>
      <c r="R28" t="s">
        <v>109</v>
      </c>
      <c r="S28" t="s">
        <v>61</v>
      </c>
      <c r="T28" t="s">
        <v>109</v>
      </c>
      <c r="U28" t="s">
        <v>107</v>
      </c>
      <c r="V28" t="e">
        <f>SUMIFS([1]Data_BY!V$2:V$51,[1]Data_BY!$B$2:$B$51,[1]Import!$K7)</f>
        <v>#VALUE!</v>
      </c>
    </row>
    <row r="29" spans="1:40" x14ac:dyDescent="0.2">
      <c r="A29" t="s">
        <v>112</v>
      </c>
      <c r="B29" t="s">
        <v>83</v>
      </c>
      <c r="C29" t="s">
        <v>84</v>
      </c>
      <c r="D29" t="s">
        <v>85</v>
      </c>
      <c r="E29" t="s">
        <v>113</v>
      </c>
      <c r="F29" t="s">
        <v>84</v>
      </c>
      <c r="G29" t="s">
        <v>100</v>
      </c>
      <c r="H29" t="s">
        <v>114</v>
      </c>
      <c r="I29" t="s">
        <v>115</v>
      </c>
      <c r="J29" t="s">
        <v>89</v>
      </c>
      <c r="K29" s="27">
        <v>2056</v>
      </c>
      <c r="L29">
        <v>2018</v>
      </c>
      <c r="M29" t="s">
        <v>109</v>
      </c>
      <c r="O29">
        <v>94.6</v>
      </c>
      <c r="P29" t="s">
        <v>61</v>
      </c>
      <c r="Q29" t="s">
        <v>90</v>
      </c>
      <c r="R29" t="s">
        <v>109</v>
      </c>
      <c r="S29" t="s">
        <v>61</v>
      </c>
      <c r="T29" t="s">
        <v>109</v>
      </c>
      <c r="U29" t="s">
        <v>107</v>
      </c>
      <c r="V29" t="e">
        <f>SUMIFS([1]Data_BY!W$2:W$51,[1]Data_BY!$B$2:$B$51,[1]Import!$K7)</f>
        <v>#VALUE!</v>
      </c>
    </row>
    <row r="30" spans="1:40" x14ac:dyDescent="0.2">
      <c r="A30" t="s">
        <v>112</v>
      </c>
      <c r="B30" t="s">
        <v>83</v>
      </c>
      <c r="C30" t="s">
        <v>84</v>
      </c>
      <c r="D30" t="s">
        <v>85</v>
      </c>
      <c r="E30" t="s">
        <v>113</v>
      </c>
      <c r="F30" t="s">
        <v>84</v>
      </c>
      <c r="G30" t="s">
        <v>100</v>
      </c>
      <c r="H30" t="s">
        <v>114</v>
      </c>
      <c r="I30" t="s">
        <v>115</v>
      </c>
      <c r="J30" t="s">
        <v>89</v>
      </c>
      <c r="K30" s="27">
        <v>2058</v>
      </c>
      <c r="L30">
        <v>2018</v>
      </c>
      <c r="M30" t="s">
        <v>109</v>
      </c>
      <c r="O30">
        <v>94.6</v>
      </c>
      <c r="P30" t="s">
        <v>61</v>
      </c>
      <c r="Q30" t="s">
        <v>90</v>
      </c>
      <c r="R30" t="s">
        <v>109</v>
      </c>
      <c r="S30" t="s">
        <v>61</v>
      </c>
      <c r="T30" t="s">
        <v>109</v>
      </c>
      <c r="U30" t="s">
        <v>107</v>
      </c>
      <c r="V30" t="e">
        <f>SUMIFS([1]Data_BY!X$2:X$51,[1]Data_BY!$B$2:$B$51,[1]Import!$K7)</f>
        <v>#VALUE!</v>
      </c>
    </row>
    <row r="31" spans="1:40" x14ac:dyDescent="0.2">
      <c r="A31" t="s">
        <v>112</v>
      </c>
      <c r="B31" t="s">
        <v>83</v>
      </c>
      <c r="C31" t="s">
        <v>84</v>
      </c>
      <c r="D31" t="s">
        <v>85</v>
      </c>
      <c r="E31" t="s">
        <v>113</v>
      </c>
      <c r="F31" t="s">
        <v>84</v>
      </c>
      <c r="G31" t="s">
        <v>100</v>
      </c>
      <c r="H31" t="s">
        <v>114</v>
      </c>
      <c r="I31" t="s">
        <v>115</v>
      </c>
      <c r="J31" t="s">
        <v>89</v>
      </c>
      <c r="K31" s="27">
        <v>2060</v>
      </c>
      <c r="L31">
        <v>2018</v>
      </c>
      <c r="M31" t="s">
        <v>109</v>
      </c>
      <c r="O31">
        <v>94.6</v>
      </c>
      <c r="P31" t="s">
        <v>61</v>
      </c>
      <c r="Q31" t="s">
        <v>90</v>
      </c>
      <c r="R31" t="s">
        <v>109</v>
      </c>
      <c r="S31" t="s">
        <v>61</v>
      </c>
      <c r="T31" t="s">
        <v>109</v>
      </c>
      <c r="U31" t="s">
        <v>107</v>
      </c>
      <c r="V31" t="e">
        <f>SUMIFS([1]Data_BY!Y$2:Y$51,[1]Data_BY!$B$2:$B$51,[1]Import!$K7)</f>
        <v>#VALUE!</v>
      </c>
    </row>
    <row r="32" spans="1:40" x14ac:dyDescent="0.2">
      <c r="A32" t="s">
        <v>112</v>
      </c>
      <c r="B32" t="s">
        <v>83</v>
      </c>
      <c r="C32" t="s">
        <v>84</v>
      </c>
      <c r="D32" t="s">
        <v>85</v>
      </c>
      <c r="E32" t="s">
        <v>113</v>
      </c>
      <c r="F32" t="s">
        <v>84</v>
      </c>
      <c r="G32" t="s">
        <v>100</v>
      </c>
      <c r="H32" t="s">
        <v>114</v>
      </c>
      <c r="I32" t="s">
        <v>115</v>
      </c>
      <c r="J32" t="s">
        <v>89</v>
      </c>
      <c r="K32" s="27">
        <v>2062</v>
      </c>
      <c r="L32">
        <v>2018</v>
      </c>
      <c r="M32" t="s">
        <v>109</v>
      </c>
      <c r="O32">
        <v>94.6</v>
      </c>
      <c r="P32" t="s">
        <v>61</v>
      </c>
      <c r="Q32" t="s">
        <v>90</v>
      </c>
      <c r="R32" t="s">
        <v>109</v>
      </c>
      <c r="S32" t="s">
        <v>61</v>
      </c>
      <c r="T32" t="s">
        <v>109</v>
      </c>
      <c r="U32" t="s">
        <v>107</v>
      </c>
      <c r="V32" t="e">
        <f>SUMIFS([1]Data_BY!Z$2:Z$51,[1]Data_BY!$B$2:$B$51,[1]Import!$K7)</f>
        <v>#VALUE!</v>
      </c>
    </row>
    <row r="33" spans="1:22" x14ac:dyDescent="0.2">
      <c r="A33" t="s">
        <v>112</v>
      </c>
      <c r="B33" t="s">
        <v>83</v>
      </c>
      <c r="C33" t="s">
        <v>84</v>
      </c>
      <c r="D33" t="s">
        <v>85</v>
      </c>
      <c r="E33" t="s">
        <v>113</v>
      </c>
      <c r="F33" t="s">
        <v>84</v>
      </c>
      <c r="G33" t="s">
        <v>100</v>
      </c>
      <c r="H33" t="s">
        <v>114</v>
      </c>
      <c r="I33" t="s">
        <v>115</v>
      </c>
      <c r="J33" t="s">
        <v>89</v>
      </c>
      <c r="K33" s="27">
        <v>2064</v>
      </c>
      <c r="L33">
        <v>2018</v>
      </c>
      <c r="M33" t="s">
        <v>109</v>
      </c>
      <c r="O33">
        <v>94.6</v>
      </c>
      <c r="P33" t="s">
        <v>61</v>
      </c>
      <c r="Q33" t="s">
        <v>90</v>
      </c>
      <c r="R33" t="s">
        <v>109</v>
      </c>
      <c r="S33" t="s">
        <v>61</v>
      </c>
      <c r="T33" t="s">
        <v>109</v>
      </c>
      <c r="U33" t="s">
        <v>107</v>
      </c>
      <c r="V33" t="e">
        <f>SUMIFS([1]Data_BY!AA$2:AA$51,[1]Data_BY!$B$2:$B$51,[1]Import!$K7)</f>
        <v>#VALUE!</v>
      </c>
    </row>
    <row r="34" spans="1:22" x14ac:dyDescent="0.2">
      <c r="A34" t="s">
        <v>112</v>
      </c>
      <c r="B34" t="s">
        <v>83</v>
      </c>
      <c r="C34" t="s">
        <v>84</v>
      </c>
      <c r="D34" t="s">
        <v>85</v>
      </c>
      <c r="E34" t="s">
        <v>113</v>
      </c>
      <c r="F34" t="s">
        <v>84</v>
      </c>
      <c r="G34" t="s">
        <v>100</v>
      </c>
      <c r="H34" t="s">
        <v>114</v>
      </c>
      <c r="I34" t="s">
        <v>115</v>
      </c>
      <c r="J34" t="s">
        <v>89</v>
      </c>
      <c r="K34" s="27">
        <v>2066</v>
      </c>
      <c r="L34">
        <v>2018</v>
      </c>
      <c r="M34" t="s">
        <v>109</v>
      </c>
      <c r="O34">
        <v>94.6</v>
      </c>
      <c r="P34" t="s">
        <v>61</v>
      </c>
      <c r="Q34" t="s">
        <v>90</v>
      </c>
      <c r="R34" t="s">
        <v>109</v>
      </c>
      <c r="S34" t="s">
        <v>61</v>
      </c>
      <c r="T34" t="s">
        <v>109</v>
      </c>
      <c r="U34" t="s">
        <v>107</v>
      </c>
      <c r="V34" t="e">
        <f>SUMIFS([1]Data_BY!AB$2:AB$51,[1]Data_BY!$B$2:$B$51,[1]Import!$K7)</f>
        <v>#VALUE!</v>
      </c>
    </row>
    <row r="35" spans="1:22" x14ac:dyDescent="0.2">
      <c r="A35" t="s">
        <v>112</v>
      </c>
      <c r="B35" t="s">
        <v>83</v>
      </c>
      <c r="C35" t="s">
        <v>84</v>
      </c>
      <c r="D35" t="s">
        <v>85</v>
      </c>
      <c r="E35" t="s">
        <v>113</v>
      </c>
      <c r="F35" t="s">
        <v>84</v>
      </c>
      <c r="G35" t="s">
        <v>100</v>
      </c>
      <c r="H35" t="s">
        <v>114</v>
      </c>
      <c r="I35" t="s">
        <v>115</v>
      </c>
      <c r="J35" t="s">
        <v>89</v>
      </c>
      <c r="K35" s="27">
        <v>2068</v>
      </c>
      <c r="L35">
        <v>2018</v>
      </c>
      <c r="M35" t="s">
        <v>109</v>
      </c>
      <c r="O35">
        <v>94.6</v>
      </c>
      <c r="P35" t="s">
        <v>61</v>
      </c>
      <c r="Q35" t="s">
        <v>90</v>
      </c>
      <c r="R35" t="s">
        <v>109</v>
      </c>
      <c r="S35" t="s">
        <v>61</v>
      </c>
      <c r="T35" t="s">
        <v>109</v>
      </c>
      <c r="U35" t="s">
        <v>107</v>
      </c>
      <c r="V35" t="e">
        <f>SUMIFS([1]Data_BY!AC$2:AC$51,[1]Data_BY!$B$2:$B$51,[1]Import!$K7)</f>
        <v>#VALUE!</v>
      </c>
    </row>
    <row r="36" spans="1:22" x14ac:dyDescent="0.2">
      <c r="A36" t="s">
        <v>112</v>
      </c>
      <c r="B36" t="s">
        <v>83</v>
      </c>
      <c r="C36" t="s">
        <v>84</v>
      </c>
      <c r="D36" t="s">
        <v>85</v>
      </c>
      <c r="E36" t="s">
        <v>113</v>
      </c>
      <c r="F36" t="s">
        <v>84</v>
      </c>
      <c r="G36" t="s">
        <v>100</v>
      </c>
      <c r="H36" t="s">
        <v>114</v>
      </c>
      <c r="I36" t="s">
        <v>115</v>
      </c>
      <c r="J36" t="s">
        <v>89</v>
      </c>
      <c r="K36" s="27">
        <v>2070</v>
      </c>
      <c r="L36">
        <v>2018</v>
      </c>
      <c r="M36" t="s">
        <v>109</v>
      </c>
      <c r="O36">
        <v>94.6</v>
      </c>
      <c r="P36" t="s">
        <v>61</v>
      </c>
      <c r="Q36" t="s">
        <v>90</v>
      </c>
      <c r="R36" t="s">
        <v>109</v>
      </c>
      <c r="S36" t="s">
        <v>61</v>
      </c>
      <c r="T36" t="s">
        <v>109</v>
      </c>
      <c r="U36" t="s">
        <v>107</v>
      </c>
      <c r="V36" t="e">
        <f>SUMIFS([1]Data_BY!AD$2:AD$51,[1]Data_BY!$B$2:$B$51,[1]Import!$K7)</f>
        <v>#VALUE!</v>
      </c>
    </row>
  </sheetData>
  <mergeCells count="14">
    <mergeCell ref="B1:F1"/>
    <mergeCell ref="H1:M1"/>
    <mergeCell ref="O1:W1"/>
    <mergeCell ref="O4:P4"/>
    <mergeCell ref="R4:U4"/>
    <mergeCell ref="V4:W4"/>
    <mergeCell ref="Z1:AG1"/>
    <mergeCell ref="AH1:AI1"/>
    <mergeCell ref="AJ1:AL2"/>
    <mergeCell ref="R9:S9"/>
    <mergeCell ref="T9:U9"/>
    <mergeCell ref="V9:W9"/>
    <mergeCell ref="Z4:AG4"/>
    <mergeCell ref="AH4:AI4"/>
  </mergeCells>
  <phoneticPr fontId="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2987-A24E-43BB-A70D-EB9F3F5E4169}">
  <dimension ref="A1:AN36"/>
  <sheetViews>
    <sheetView topLeftCell="R1" zoomScale="80" zoomScaleNormal="80" workbookViewId="0">
      <selection activeCell="U2" sqref="U2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7" width="12.33203125" customWidth="1"/>
    <col min="28" max="28" width="15.6640625" bestFit="1" customWidth="1"/>
    <col min="29" max="29" width="27.1640625" bestFit="1" customWidth="1"/>
    <col min="30" max="30" width="18.1640625" customWidth="1"/>
    <col min="31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32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44" t="s">
        <v>159</v>
      </c>
      <c r="W9" s="45"/>
      <c r="X9" s="30"/>
      <c r="Y9" s="30"/>
      <c r="Z9" s="8"/>
      <c r="AA9" s="8"/>
      <c r="AB9" s="25" t="s">
        <v>99</v>
      </c>
      <c r="AC9" s="8"/>
      <c r="AD9" s="8" t="s">
        <v>111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2">
      <c r="A10" t="s">
        <v>127</v>
      </c>
      <c r="B10" t="s">
        <v>83</v>
      </c>
      <c r="C10" t="s">
        <v>84</v>
      </c>
      <c r="D10" t="s">
        <v>85</v>
      </c>
      <c r="E10" t="s">
        <v>119</v>
      </c>
      <c r="F10" t="s">
        <v>84</v>
      </c>
      <c r="G10" t="s">
        <v>100</v>
      </c>
      <c r="H10" t="s">
        <v>120</v>
      </c>
      <c r="I10" t="s">
        <v>121</v>
      </c>
      <c r="J10" t="s">
        <v>89</v>
      </c>
      <c r="K10" s="27">
        <v>2018</v>
      </c>
      <c r="L10">
        <v>2018</v>
      </c>
      <c r="M10">
        <v>10</v>
      </c>
      <c r="N10">
        <v>0</v>
      </c>
      <c r="O10">
        <v>69.3</v>
      </c>
      <c r="P10" t="s">
        <v>61</v>
      </c>
      <c r="Q10" t="s">
        <v>90</v>
      </c>
      <c r="R10">
        <v>455.07733130928699</v>
      </c>
      <c r="S10" t="s">
        <v>61</v>
      </c>
      <c r="T10">
        <v>43.188372760276401</v>
      </c>
      <c r="U10" t="s">
        <v>107</v>
      </c>
      <c r="V10">
        <v>4.9297921017074069</v>
      </c>
      <c r="W10" t="s">
        <v>93</v>
      </c>
      <c r="X10">
        <v>346.91130635905802</v>
      </c>
      <c r="Y10"/>
      <c r="Z10" t="s">
        <v>122</v>
      </c>
      <c r="AA10">
        <v>1</v>
      </c>
      <c r="AB10">
        <v>1</v>
      </c>
      <c r="AC10" t="s">
        <v>123</v>
      </c>
      <c r="AD10">
        <v>697.32498210112703</v>
      </c>
      <c r="AE10" t="s">
        <v>109</v>
      </c>
      <c r="AF10">
        <v>1</v>
      </c>
      <c r="AG10" t="s">
        <v>109</v>
      </c>
      <c r="AH10">
        <v>29.195602350609999</v>
      </c>
      <c r="AI10" t="s">
        <v>98</v>
      </c>
      <c r="AJ10"/>
      <c r="AK10"/>
      <c r="AL10"/>
      <c r="AM10"/>
      <c r="AN10"/>
    </row>
    <row r="11" spans="1:40" s="26" customFormat="1" x14ac:dyDescent="0.2">
      <c r="A11"/>
      <c r="B11"/>
      <c r="C11"/>
      <c r="D11"/>
      <c r="E11"/>
      <c r="F11"/>
      <c r="G11"/>
      <c r="H11"/>
      <c r="I11"/>
      <c r="J11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2">
      <c r="A12"/>
      <c r="B12"/>
      <c r="C12"/>
      <c r="D12"/>
      <c r="E12"/>
      <c r="F12"/>
      <c r="G12"/>
      <c r="H12"/>
      <c r="I12"/>
      <c r="J12"/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2">
      <c r="A13"/>
      <c r="B13"/>
      <c r="C13"/>
      <c r="D13"/>
      <c r="E13"/>
      <c r="F13"/>
      <c r="G13"/>
      <c r="H13"/>
      <c r="I13"/>
      <c r="J13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2">
      <c r="A14"/>
      <c r="B14"/>
      <c r="C14"/>
      <c r="D14"/>
      <c r="E14"/>
      <c r="F14"/>
      <c r="G14"/>
      <c r="H14"/>
      <c r="I14"/>
      <c r="J14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2">
      <c r="A15"/>
      <c r="B15"/>
      <c r="C15"/>
      <c r="D15"/>
      <c r="E15"/>
      <c r="F15"/>
      <c r="G15"/>
      <c r="H15"/>
      <c r="I15"/>
      <c r="J15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2">
      <c r="A16"/>
      <c r="B16"/>
      <c r="C16"/>
      <c r="D16"/>
      <c r="E16"/>
      <c r="F16"/>
      <c r="G16"/>
      <c r="H16"/>
      <c r="I16"/>
      <c r="J16"/>
      <c r="K16" s="27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2">
      <c r="A17"/>
      <c r="B17"/>
      <c r="C17"/>
      <c r="D17"/>
      <c r="E17"/>
      <c r="F17"/>
      <c r="G17"/>
      <c r="H17"/>
      <c r="I17"/>
      <c r="J17"/>
      <c r="K17" s="2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2">
      <c r="A18"/>
      <c r="B18"/>
      <c r="C18"/>
      <c r="D18"/>
      <c r="E18"/>
      <c r="F18"/>
      <c r="G18"/>
      <c r="H18"/>
      <c r="I18"/>
      <c r="J18"/>
      <c r="K18" s="27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2">
      <c r="A19"/>
      <c r="B19"/>
      <c r="C19"/>
      <c r="D19"/>
      <c r="E19"/>
      <c r="F19"/>
      <c r="G19"/>
      <c r="H19"/>
      <c r="I19"/>
      <c r="J19"/>
      <c r="K19" s="27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2">
      <c r="A20"/>
      <c r="B20"/>
      <c r="C20"/>
      <c r="D20"/>
      <c r="E20"/>
      <c r="F20"/>
      <c r="G20"/>
      <c r="H20"/>
      <c r="I20"/>
      <c r="J20"/>
      <c r="K20" s="27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2">
      <c r="A21"/>
      <c r="B21"/>
      <c r="C21"/>
      <c r="D21"/>
      <c r="E21"/>
      <c r="F21"/>
      <c r="G21"/>
      <c r="H21"/>
      <c r="I21"/>
      <c r="J21"/>
      <c r="K21" s="27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x14ac:dyDescent="0.2">
      <c r="K22" s="27"/>
    </row>
    <row r="23" spans="1:40" x14ac:dyDescent="0.2">
      <c r="K23" s="27"/>
    </row>
    <row r="24" spans="1:40" x14ac:dyDescent="0.2">
      <c r="K24" s="27"/>
    </row>
    <row r="25" spans="1:40" x14ac:dyDescent="0.2">
      <c r="K25" s="27"/>
    </row>
    <row r="26" spans="1:40" x14ac:dyDescent="0.2">
      <c r="K26" s="27"/>
    </row>
    <row r="27" spans="1:40" x14ac:dyDescent="0.2">
      <c r="K27" s="27"/>
    </row>
    <row r="28" spans="1:40" x14ac:dyDescent="0.2">
      <c r="K28" s="27"/>
    </row>
    <row r="29" spans="1:40" x14ac:dyDescent="0.2">
      <c r="K29" s="27"/>
    </row>
    <row r="30" spans="1:40" x14ac:dyDescent="0.2">
      <c r="K30" s="27"/>
    </row>
    <row r="31" spans="1:40" x14ac:dyDescent="0.2">
      <c r="K31" s="27"/>
    </row>
    <row r="32" spans="1:40" x14ac:dyDescent="0.2">
      <c r="K32" s="27"/>
    </row>
    <row r="33" spans="11:11" x14ac:dyDescent="0.2">
      <c r="K33" s="27"/>
    </row>
    <row r="34" spans="11:11" x14ac:dyDescent="0.2">
      <c r="K34" s="27"/>
    </row>
    <row r="35" spans="11:11" x14ac:dyDescent="0.2">
      <c r="K35" s="27"/>
    </row>
    <row r="36" spans="11:11" x14ac:dyDescent="0.2">
      <c r="K36" s="27"/>
    </row>
  </sheetData>
  <mergeCells count="14">
    <mergeCell ref="B1:F1"/>
    <mergeCell ref="H1:M1"/>
    <mergeCell ref="O1:W1"/>
    <mergeCell ref="O4:P4"/>
    <mergeCell ref="R4:U4"/>
    <mergeCell ref="V4:W4"/>
    <mergeCell ref="Z1:AG1"/>
    <mergeCell ref="AH1:AI1"/>
    <mergeCell ref="AJ1:AL2"/>
    <mergeCell ref="R9:S9"/>
    <mergeCell ref="T9:U9"/>
    <mergeCell ref="V9:W9"/>
    <mergeCell ref="Z4:AG4"/>
    <mergeCell ref="AH4:AI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A86A-2D31-4039-9B7C-0CFDBB6F8338}">
  <dimension ref="A1:AN36"/>
  <sheetViews>
    <sheetView topLeftCell="B1" zoomScale="80" zoomScaleNormal="80" workbookViewId="0">
      <selection activeCell="N2" sqref="N2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7" width="12.33203125" customWidth="1"/>
    <col min="28" max="28" width="15.6640625" bestFit="1" customWidth="1"/>
    <col min="29" max="29" width="27.1640625" bestFit="1" customWidth="1"/>
    <col min="30" max="30" width="18.1640625" customWidth="1"/>
    <col min="31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32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44" t="s">
        <v>116</v>
      </c>
      <c r="W9" s="45"/>
      <c r="X9" s="30"/>
      <c r="Y9" s="30"/>
      <c r="Z9" s="8"/>
      <c r="AA9" s="8"/>
      <c r="AB9" s="25" t="s">
        <v>99</v>
      </c>
      <c r="AC9" s="8"/>
      <c r="AD9" s="8" t="s">
        <v>135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2">
      <c r="A10" t="s">
        <v>128</v>
      </c>
      <c r="B10" t="s">
        <v>83</v>
      </c>
      <c r="C10" t="s">
        <v>84</v>
      </c>
      <c r="D10" t="s">
        <v>85</v>
      </c>
      <c r="E10" t="s">
        <v>129</v>
      </c>
      <c r="F10" t="s">
        <v>84</v>
      </c>
      <c r="G10" t="s">
        <v>100</v>
      </c>
      <c r="H10" t="s">
        <v>130</v>
      </c>
      <c r="I10" t="s">
        <v>131</v>
      </c>
      <c r="J10" t="s">
        <v>89</v>
      </c>
      <c r="K10" s="27">
        <v>2018</v>
      </c>
      <c r="L10">
        <v>2018</v>
      </c>
      <c r="M10">
        <v>25</v>
      </c>
      <c r="N10"/>
      <c r="O10">
        <v>0</v>
      </c>
      <c r="P10" t="s">
        <v>61</v>
      </c>
      <c r="Q10" t="s">
        <v>90</v>
      </c>
      <c r="R10">
        <v>295.318706611724</v>
      </c>
      <c r="S10" t="s">
        <v>61</v>
      </c>
      <c r="T10">
        <v>8.3156995953521204E-2</v>
      </c>
      <c r="U10" t="s">
        <v>132</v>
      </c>
      <c r="V10">
        <v>0</v>
      </c>
      <c r="W10" t="s">
        <v>93</v>
      </c>
      <c r="X10"/>
      <c r="Y10"/>
      <c r="Z10" t="s">
        <v>133</v>
      </c>
      <c r="AA10">
        <v>1</v>
      </c>
      <c r="AB10">
        <v>1</v>
      </c>
      <c r="AC10" t="s">
        <v>134</v>
      </c>
      <c r="AD10">
        <v>191.64876037205599</v>
      </c>
      <c r="AE10" t="s">
        <v>109</v>
      </c>
      <c r="AF10">
        <v>1</v>
      </c>
      <c r="AG10" t="s">
        <v>109</v>
      </c>
      <c r="AH10">
        <v>0.68993553733940205</v>
      </c>
      <c r="AI10" t="s">
        <v>98</v>
      </c>
      <c r="AJ10"/>
      <c r="AK10"/>
      <c r="AL10"/>
      <c r="AM10"/>
      <c r="AN10"/>
    </row>
    <row r="11" spans="1:40" s="26" customFormat="1" x14ac:dyDescent="0.2">
      <c r="A11" t="s">
        <v>128</v>
      </c>
      <c r="B11" t="s">
        <v>83</v>
      </c>
      <c r="C11" t="s">
        <v>84</v>
      </c>
      <c r="D11" t="s">
        <v>85</v>
      </c>
      <c r="E11" t="s">
        <v>129</v>
      </c>
      <c r="F11" t="s">
        <v>84</v>
      </c>
      <c r="G11" t="s">
        <v>100</v>
      </c>
      <c r="H11" t="s">
        <v>130</v>
      </c>
      <c r="I11" t="s">
        <v>131</v>
      </c>
      <c r="J11" t="s">
        <v>89</v>
      </c>
      <c r="K11" s="27">
        <v>2030</v>
      </c>
      <c r="L11">
        <v>2018</v>
      </c>
      <c r="M11">
        <v>25</v>
      </c>
      <c r="N11"/>
      <c r="O11">
        <v>0</v>
      </c>
      <c r="P11" t="s">
        <v>61</v>
      </c>
      <c r="Q11" t="s">
        <v>90</v>
      </c>
      <c r="R11">
        <v>236.25496528937899</v>
      </c>
      <c r="S11" t="s">
        <v>61</v>
      </c>
      <c r="T11">
        <v>6.6525596762816996E-2</v>
      </c>
      <c r="U11" t="s">
        <v>132</v>
      </c>
      <c r="V11">
        <v>0</v>
      </c>
      <c r="W11"/>
      <c r="X11"/>
      <c r="Y11"/>
      <c r="Z11" t="s">
        <v>133</v>
      </c>
      <c r="AA11">
        <v>1</v>
      </c>
      <c r="AB11"/>
      <c r="AC11" t="s">
        <v>134</v>
      </c>
      <c r="AD11">
        <v>191.64876037205599</v>
      </c>
      <c r="AE11" t="s">
        <v>109</v>
      </c>
      <c r="AF11">
        <v>1</v>
      </c>
      <c r="AG11" t="s">
        <v>109</v>
      </c>
      <c r="AH11">
        <v>0.68993553733940205</v>
      </c>
      <c r="AI11" t="s">
        <v>98</v>
      </c>
      <c r="AJ11"/>
      <c r="AK11"/>
      <c r="AL11"/>
      <c r="AM11"/>
      <c r="AN11"/>
    </row>
    <row r="12" spans="1:40" s="26" customFormat="1" x14ac:dyDescent="0.2">
      <c r="A12" t="s">
        <v>128</v>
      </c>
      <c r="B12" t="s">
        <v>83</v>
      </c>
      <c r="C12" t="s">
        <v>84</v>
      </c>
      <c r="D12" t="s">
        <v>85</v>
      </c>
      <c r="E12" t="s">
        <v>129</v>
      </c>
      <c r="F12" t="s">
        <v>84</v>
      </c>
      <c r="G12" t="s">
        <v>100</v>
      </c>
      <c r="H12" t="s">
        <v>130</v>
      </c>
      <c r="I12" t="s">
        <v>131</v>
      </c>
      <c r="J12" t="s">
        <v>89</v>
      </c>
      <c r="K12" s="27">
        <v>2040</v>
      </c>
      <c r="L12">
        <v>2018</v>
      </c>
      <c r="M12">
        <v>25</v>
      </c>
      <c r="N12"/>
      <c r="O12">
        <v>0</v>
      </c>
      <c r="P12" t="s">
        <v>61</v>
      </c>
      <c r="Q12" t="s">
        <v>90</v>
      </c>
      <c r="R12">
        <v>189.00397223150301</v>
      </c>
      <c r="S12" t="s">
        <v>61</v>
      </c>
      <c r="T12">
        <v>5.3220477410253562E-2</v>
      </c>
      <c r="U12" t="s">
        <v>132</v>
      </c>
      <c r="V12">
        <v>0</v>
      </c>
      <c r="W12"/>
      <c r="X12"/>
      <c r="Y12"/>
      <c r="Z12" t="s">
        <v>133</v>
      </c>
      <c r="AA12">
        <v>1</v>
      </c>
      <c r="AB12"/>
      <c r="AC12" t="s">
        <v>134</v>
      </c>
      <c r="AD12">
        <v>191.64876037205599</v>
      </c>
      <c r="AE12" t="s">
        <v>109</v>
      </c>
      <c r="AF12">
        <v>1</v>
      </c>
      <c r="AG12" t="s">
        <v>109</v>
      </c>
      <c r="AH12">
        <v>0.68993553733940205</v>
      </c>
      <c r="AI12" t="s">
        <v>98</v>
      </c>
      <c r="AJ12"/>
      <c r="AK12"/>
      <c r="AL12"/>
      <c r="AM12"/>
      <c r="AN12"/>
    </row>
    <row r="13" spans="1:40" s="26" customFormat="1" x14ac:dyDescent="0.2">
      <c r="A13" t="s">
        <v>128</v>
      </c>
      <c r="B13" t="s">
        <v>83</v>
      </c>
      <c r="C13" t="s">
        <v>84</v>
      </c>
      <c r="D13" t="s">
        <v>85</v>
      </c>
      <c r="E13" t="s">
        <v>129</v>
      </c>
      <c r="F13" t="s">
        <v>84</v>
      </c>
      <c r="G13" t="s">
        <v>100</v>
      </c>
      <c r="H13" t="s">
        <v>130</v>
      </c>
      <c r="I13" t="s">
        <v>131</v>
      </c>
      <c r="J13" t="s">
        <v>89</v>
      </c>
      <c r="K13" s="27">
        <v>2050</v>
      </c>
      <c r="L13">
        <v>2018</v>
      </c>
      <c r="M13">
        <v>25</v>
      </c>
      <c r="N13"/>
      <c r="O13">
        <v>0</v>
      </c>
      <c r="P13" t="s">
        <v>61</v>
      </c>
      <c r="Q13" t="s">
        <v>90</v>
      </c>
      <c r="R13">
        <v>147.659353305862</v>
      </c>
      <c r="S13" t="s">
        <v>61</v>
      </c>
      <c r="T13">
        <v>4.1578497976760588E-2</v>
      </c>
      <c r="U13" t="s">
        <v>132</v>
      </c>
      <c r="V13">
        <v>0</v>
      </c>
      <c r="W13"/>
      <c r="X13"/>
      <c r="Y13"/>
      <c r="Z13" t="s">
        <v>133</v>
      </c>
      <c r="AA13">
        <v>1</v>
      </c>
      <c r="AB13"/>
      <c r="AC13" t="s">
        <v>134</v>
      </c>
      <c r="AD13">
        <v>191.64876037205599</v>
      </c>
      <c r="AE13" t="s">
        <v>109</v>
      </c>
      <c r="AF13">
        <v>1</v>
      </c>
      <c r="AG13" t="s">
        <v>109</v>
      </c>
      <c r="AH13">
        <v>0.68993553733940205</v>
      </c>
      <c r="AI13" t="s">
        <v>98</v>
      </c>
      <c r="AJ13"/>
      <c r="AK13"/>
      <c r="AL13"/>
      <c r="AM13"/>
      <c r="AN13"/>
    </row>
    <row r="14" spans="1:40" s="26" customFormat="1" x14ac:dyDescent="0.2">
      <c r="A14"/>
      <c r="B14"/>
      <c r="C14"/>
      <c r="D14"/>
      <c r="E14"/>
      <c r="F14"/>
      <c r="G14"/>
      <c r="H14"/>
      <c r="I14"/>
      <c r="J14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2">
      <c r="A15"/>
      <c r="B15"/>
      <c r="C15"/>
      <c r="D15"/>
      <c r="E15"/>
      <c r="F15"/>
      <c r="G15"/>
      <c r="H15"/>
      <c r="I15"/>
      <c r="J15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2">
      <c r="A16"/>
      <c r="B16"/>
      <c r="C16"/>
      <c r="D16"/>
      <c r="E16"/>
      <c r="F16"/>
      <c r="G16"/>
      <c r="H16"/>
      <c r="I16"/>
      <c r="J16"/>
      <c r="K16" s="27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2">
      <c r="A17"/>
      <c r="B17"/>
      <c r="C17"/>
      <c r="D17"/>
      <c r="E17"/>
      <c r="F17"/>
      <c r="G17"/>
      <c r="H17"/>
      <c r="I17"/>
      <c r="J17"/>
      <c r="K17" s="2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2">
      <c r="A18"/>
      <c r="B18"/>
      <c r="C18"/>
      <c r="D18"/>
      <c r="E18"/>
      <c r="F18"/>
      <c r="G18"/>
      <c r="H18"/>
      <c r="I18"/>
      <c r="J18"/>
      <c r="K18" s="27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2">
      <c r="A19"/>
      <c r="B19"/>
      <c r="C19"/>
      <c r="D19"/>
      <c r="E19"/>
      <c r="F19"/>
      <c r="G19"/>
      <c r="H19"/>
      <c r="I19"/>
      <c r="J19"/>
      <c r="K19" s="27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2">
      <c r="A20"/>
      <c r="B20"/>
      <c r="C20"/>
      <c r="D20"/>
      <c r="E20"/>
      <c r="F20"/>
      <c r="G20"/>
      <c r="H20"/>
      <c r="I20"/>
      <c r="J20"/>
      <c r="K20" s="27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2">
      <c r="A21"/>
      <c r="B21"/>
      <c r="C21"/>
      <c r="D21"/>
      <c r="E21"/>
      <c r="F21"/>
      <c r="G21"/>
      <c r="H21"/>
      <c r="I21"/>
      <c r="J21"/>
      <c r="K21" s="27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x14ac:dyDescent="0.2">
      <c r="K22" s="27"/>
    </row>
    <row r="23" spans="1:40" x14ac:dyDescent="0.2">
      <c r="K23" s="27"/>
    </row>
    <row r="24" spans="1:40" x14ac:dyDescent="0.2">
      <c r="K24" s="27"/>
    </row>
    <row r="25" spans="1:40" x14ac:dyDescent="0.2">
      <c r="K25" s="27"/>
    </row>
    <row r="26" spans="1:40" x14ac:dyDescent="0.2">
      <c r="K26" s="27"/>
    </row>
    <row r="27" spans="1:40" x14ac:dyDescent="0.2">
      <c r="K27" s="27"/>
    </row>
    <row r="28" spans="1:40" x14ac:dyDescent="0.2">
      <c r="K28" s="27"/>
    </row>
    <row r="29" spans="1:40" x14ac:dyDescent="0.2">
      <c r="K29" s="27"/>
    </row>
    <row r="30" spans="1:40" x14ac:dyDescent="0.2">
      <c r="K30" s="27"/>
    </row>
    <row r="31" spans="1:40" x14ac:dyDescent="0.2">
      <c r="K31" s="27"/>
    </row>
    <row r="32" spans="1:40" x14ac:dyDescent="0.2">
      <c r="K32" s="27"/>
    </row>
    <row r="33" spans="11:11" x14ac:dyDescent="0.2">
      <c r="K33" s="27"/>
    </row>
    <row r="34" spans="11:11" x14ac:dyDescent="0.2">
      <c r="K34" s="27"/>
    </row>
    <row r="35" spans="11:11" x14ac:dyDescent="0.2">
      <c r="K35" s="27"/>
    </row>
    <row r="36" spans="11:11" x14ac:dyDescent="0.2">
      <c r="K36" s="27"/>
    </row>
  </sheetData>
  <mergeCells count="14">
    <mergeCell ref="B1:F1"/>
    <mergeCell ref="H1:M1"/>
    <mergeCell ref="O1:W1"/>
    <mergeCell ref="O4:P4"/>
    <mergeCell ref="R4:U4"/>
    <mergeCell ref="V4:W4"/>
    <mergeCell ref="Z1:AG1"/>
    <mergeCell ref="AH1:AI1"/>
    <mergeCell ref="AJ1:AL2"/>
    <mergeCell ref="R9:S9"/>
    <mergeCell ref="T9:U9"/>
    <mergeCell ref="V9:W9"/>
    <mergeCell ref="Z4:AG4"/>
    <mergeCell ref="AH4:AI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ED1F-E88A-45BA-9475-7221B3A0482A}">
  <dimension ref="A1:AN36"/>
  <sheetViews>
    <sheetView topLeftCell="C1" zoomScale="80" zoomScaleNormal="80" workbookViewId="0">
      <selection activeCell="N2" sqref="N2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7" width="12.33203125" customWidth="1"/>
    <col min="28" max="28" width="15.6640625" bestFit="1" customWidth="1"/>
    <col min="29" max="29" width="27.1640625" bestFit="1" customWidth="1"/>
    <col min="30" max="30" width="18.1640625" customWidth="1"/>
    <col min="31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32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44" t="s">
        <v>116</v>
      </c>
      <c r="W9" s="45"/>
      <c r="X9" s="30"/>
      <c r="Y9" s="30"/>
      <c r="Z9" s="8"/>
      <c r="AA9" s="8"/>
      <c r="AB9" s="25" t="s">
        <v>99</v>
      </c>
      <c r="AC9" s="8"/>
      <c r="AD9" s="8" t="s">
        <v>135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2">
      <c r="A10" t="s">
        <v>136</v>
      </c>
      <c r="B10" t="s">
        <v>83</v>
      </c>
      <c r="C10" t="s">
        <v>84</v>
      </c>
      <c r="D10" t="s">
        <v>85</v>
      </c>
      <c r="E10" t="s">
        <v>138</v>
      </c>
      <c r="F10" t="s">
        <v>84</v>
      </c>
      <c r="G10" t="s">
        <v>100</v>
      </c>
      <c r="H10" t="s">
        <v>137</v>
      </c>
      <c r="I10" t="s">
        <v>139</v>
      </c>
      <c r="J10" t="s">
        <v>89</v>
      </c>
      <c r="K10" s="27">
        <v>2018</v>
      </c>
      <c r="L10">
        <v>2018</v>
      </c>
      <c r="M10">
        <v>10</v>
      </c>
      <c r="N10"/>
      <c r="O10">
        <v>0</v>
      </c>
      <c r="P10" t="s">
        <v>61</v>
      </c>
      <c r="Q10" t="s">
        <v>90</v>
      </c>
      <c r="R10">
        <v>1555.55555555556</v>
      </c>
      <c r="S10" t="s">
        <v>61</v>
      </c>
      <c r="T10">
        <v>31.1111111111111</v>
      </c>
      <c r="U10" t="s">
        <v>132</v>
      </c>
      <c r="V10">
        <v>0</v>
      </c>
      <c r="W10" t="s">
        <v>93</v>
      </c>
      <c r="X10"/>
      <c r="Y10"/>
      <c r="Z10" t="s">
        <v>140</v>
      </c>
      <c r="AA10">
        <v>1</v>
      </c>
      <c r="AB10">
        <v>1</v>
      </c>
      <c r="AC10" t="s">
        <v>134</v>
      </c>
      <c r="AD10" s="27">
        <v>0.13588158889631199</v>
      </c>
      <c r="AE10" t="s">
        <v>109</v>
      </c>
      <c r="AF10">
        <v>1</v>
      </c>
      <c r="AG10" t="s">
        <v>109</v>
      </c>
      <c r="AH10">
        <v>0.13588158889631199</v>
      </c>
      <c r="AI10" t="s">
        <v>98</v>
      </c>
      <c r="AJ10"/>
      <c r="AK10"/>
      <c r="AL10"/>
      <c r="AM10"/>
      <c r="AN10"/>
    </row>
    <row r="11" spans="1:40" s="26" customFormat="1" x14ac:dyDescent="0.2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8.6218565233100494E-2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2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/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2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/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2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2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2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2">
      <c r="A17"/>
      <c r="B17"/>
      <c r="C17"/>
      <c r="D17"/>
      <c r="E17"/>
      <c r="F17"/>
      <c r="G17"/>
      <c r="H17"/>
      <c r="I17"/>
      <c r="J17"/>
      <c r="K17" s="27">
        <v>2032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2">
      <c r="A18"/>
      <c r="B18"/>
      <c r="C18"/>
      <c r="D18"/>
      <c r="E18"/>
      <c r="F18"/>
      <c r="G18"/>
      <c r="H18"/>
      <c r="I18"/>
      <c r="J18"/>
      <c r="K18" s="27">
        <v>2034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27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2">
      <c r="A19"/>
      <c r="B19"/>
      <c r="C19"/>
      <c r="D19"/>
      <c r="E19"/>
      <c r="F19"/>
      <c r="G19"/>
      <c r="H19"/>
      <c r="I19"/>
      <c r="J19"/>
      <c r="K19" s="27">
        <v>2036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27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2">
      <c r="A20"/>
      <c r="B20"/>
      <c r="C20"/>
      <c r="D20"/>
      <c r="E20"/>
      <c r="F20"/>
      <c r="G20"/>
      <c r="H20"/>
      <c r="I20"/>
      <c r="J20"/>
      <c r="K20" s="27">
        <v>2038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27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2">
      <c r="A21"/>
      <c r="B21"/>
      <c r="C21"/>
      <c r="D21"/>
      <c r="E21"/>
      <c r="F21"/>
      <c r="G21"/>
      <c r="H21"/>
      <c r="I21"/>
      <c r="J21"/>
      <c r="K21" s="27">
        <v>2040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27"/>
      <c r="AE21"/>
      <c r="AF21"/>
      <c r="AG21"/>
      <c r="AH21"/>
      <c r="AI21"/>
      <c r="AJ21"/>
      <c r="AK21"/>
      <c r="AL21"/>
      <c r="AM21"/>
      <c r="AN21"/>
    </row>
    <row r="22" spans="1:40" x14ac:dyDescent="0.2">
      <c r="K22" s="27">
        <v>2042</v>
      </c>
      <c r="AD22" s="27"/>
    </row>
    <row r="23" spans="1:40" x14ac:dyDescent="0.2">
      <c r="K23" s="27">
        <v>2044</v>
      </c>
      <c r="AD23" s="27"/>
    </row>
    <row r="24" spans="1:40" x14ac:dyDescent="0.2">
      <c r="K24" s="27">
        <v>2046</v>
      </c>
      <c r="AD24" s="27"/>
    </row>
    <row r="25" spans="1:40" x14ac:dyDescent="0.2">
      <c r="K25" s="27">
        <v>2048</v>
      </c>
      <c r="AD25" s="27"/>
    </row>
    <row r="26" spans="1:40" x14ac:dyDescent="0.2">
      <c r="K26" s="27">
        <v>2050</v>
      </c>
      <c r="AD26" s="27"/>
    </row>
    <row r="27" spans="1:40" x14ac:dyDescent="0.2">
      <c r="K27" s="27">
        <v>2052</v>
      </c>
      <c r="AD27" s="27"/>
    </row>
    <row r="28" spans="1:40" x14ac:dyDescent="0.2">
      <c r="K28" s="27">
        <v>2054</v>
      </c>
      <c r="AD28" s="27"/>
    </row>
    <row r="29" spans="1:40" x14ac:dyDescent="0.2">
      <c r="K29" s="27">
        <v>2056</v>
      </c>
      <c r="AD29" s="27"/>
    </row>
    <row r="30" spans="1:40" x14ac:dyDescent="0.2">
      <c r="K30" s="27">
        <v>2058</v>
      </c>
      <c r="AD30" s="27"/>
    </row>
    <row r="31" spans="1:40" x14ac:dyDescent="0.2">
      <c r="K31" s="27">
        <v>2060</v>
      </c>
      <c r="AD31" s="27"/>
    </row>
    <row r="32" spans="1:40" x14ac:dyDescent="0.2">
      <c r="K32" s="27">
        <v>2062</v>
      </c>
      <c r="AD32" s="27"/>
    </row>
    <row r="33" spans="11:30" x14ac:dyDescent="0.2">
      <c r="K33" s="27">
        <v>2064</v>
      </c>
      <c r="AD33" s="27"/>
    </row>
    <row r="34" spans="11:30" x14ac:dyDescent="0.2">
      <c r="K34" s="27">
        <v>2066</v>
      </c>
      <c r="AD34" s="27"/>
    </row>
    <row r="35" spans="11:30" x14ac:dyDescent="0.2">
      <c r="K35" s="27">
        <v>2068</v>
      </c>
      <c r="AD35" s="27"/>
    </row>
    <row r="36" spans="11:30" x14ac:dyDescent="0.2">
      <c r="K36" s="27">
        <v>2070</v>
      </c>
      <c r="AD36" s="27"/>
    </row>
  </sheetData>
  <mergeCells count="14">
    <mergeCell ref="Z1:AG1"/>
    <mergeCell ref="AH1:AI1"/>
    <mergeCell ref="AJ1:AL2"/>
    <mergeCell ref="R9:S9"/>
    <mergeCell ref="T9:U9"/>
    <mergeCell ref="V9:W9"/>
    <mergeCell ref="Z4:AG4"/>
    <mergeCell ref="AH4:AI4"/>
    <mergeCell ref="B1:F1"/>
    <mergeCell ref="H1:M1"/>
    <mergeCell ref="O1:W1"/>
    <mergeCell ref="O4:P4"/>
    <mergeCell ref="R4:U4"/>
    <mergeCell ref="V4:W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9AAE-56C0-4126-940E-125BBA089D10}">
  <dimension ref="A1:AN36"/>
  <sheetViews>
    <sheetView topLeftCell="G1" zoomScale="80" zoomScaleNormal="80" workbookViewId="0">
      <selection activeCell="N2" sqref="N2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7" width="12.33203125" customWidth="1"/>
    <col min="28" max="28" width="15.6640625" bestFit="1" customWidth="1"/>
    <col min="29" max="29" width="27.1640625" bestFit="1" customWidth="1"/>
    <col min="30" max="30" width="18.1640625" customWidth="1"/>
    <col min="31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32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44" t="s">
        <v>116</v>
      </c>
      <c r="W9" s="45"/>
      <c r="X9" s="30"/>
      <c r="Y9" s="30"/>
      <c r="Z9" s="8"/>
      <c r="AA9" s="8"/>
      <c r="AB9" s="25" t="s">
        <v>99</v>
      </c>
      <c r="AC9" s="8"/>
      <c r="AD9" s="8" t="s">
        <v>135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2">
      <c r="A10" t="s">
        <v>141</v>
      </c>
      <c r="B10" t="s">
        <v>83</v>
      </c>
      <c r="C10" t="s">
        <v>84</v>
      </c>
      <c r="D10" t="s">
        <v>85</v>
      </c>
      <c r="E10" t="s">
        <v>142</v>
      </c>
      <c r="F10" t="s">
        <v>84</v>
      </c>
      <c r="G10" t="s">
        <v>100</v>
      </c>
      <c r="H10" t="s">
        <v>143</v>
      </c>
      <c r="I10" t="s">
        <v>144</v>
      </c>
      <c r="J10" t="s">
        <v>89</v>
      </c>
      <c r="K10" s="27">
        <v>2018</v>
      </c>
      <c r="L10">
        <v>2018</v>
      </c>
      <c r="M10">
        <v>20</v>
      </c>
      <c r="N10"/>
      <c r="O10">
        <v>0</v>
      </c>
      <c r="P10" t="s">
        <v>61</v>
      </c>
      <c r="Q10" t="s">
        <v>90</v>
      </c>
      <c r="R10">
        <v>161.454778498758</v>
      </c>
      <c r="S10" t="s">
        <v>61</v>
      </c>
      <c r="T10">
        <v>5.5839141232075598</v>
      </c>
      <c r="U10" t="s">
        <v>132</v>
      </c>
      <c r="V10">
        <v>0</v>
      </c>
      <c r="W10" t="s">
        <v>93</v>
      </c>
      <c r="X10"/>
      <c r="Y10"/>
      <c r="Z10" t="s">
        <v>145</v>
      </c>
      <c r="AA10">
        <v>1</v>
      </c>
      <c r="AB10">
        <v>1</v>
      </c>
      <c r="AC10" t="s">
        <v>134</v>
      </c>
      <c r="AD10" s="27">
        <v>5782.3006901996296</v>
      </c>
      <c r="AE10" t="s">
        <v>109</v>
      </c>
      <c r="AF10">
        <v>1</v>
      </c>
      <c r="AG10" t="s">
        <v>109</v>
      </c>
      <c r="AH10">
        <v>20.816282484718599</v>
      </c>
      <c r="AI10" t="s">
        <v>98</v>
      </c>
      <c r="AJ10"/>
      <c r="AK10"/>
      <c r="AL10"/>
      <c r="AM10"/>
      <c r="AN10"/>
    </row>
    <row r="11" spans="1:40" s="26" customFormat="1" x14ac:dyDescent="0.2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5861.9594894827997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2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/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2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/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2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2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2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2">
      <c r="A17"/>
      <c r="B17"/>
      <c r="C17"/>
      <c r="D17"/>
      <c r="E17"/>
      <c r="F17"/>
      <c r="G17"/>
      <c r="H17"/>
      <c r="I17"/>
      <c r="J17"/>
      <c r="K17" s="27">
        <v>2032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2">
      <c r="A18"/>
      <c r="B18"/>
      <c r="C18"/>
      <c r="D18"/>
      <c r="E18"/>
      <c r="F18"/>
      <c r="G18"/>
      <c r="H18"/>
      <c r="I18"/>
      <c r="J18"/>
      <c r="K18" s="27">
        <v>2034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27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2">
      <c r="A19"/>
      <c r="B19"/>
      <c r="C19"/>
      <c r="D19"/>
      <c r="E19"/>
      <c r="F19"/>
      <c r="G19"/>
      <c r="H19"/>
      <c r="I19"/>
      <c r="J19"/>
      <c r="K19" s="27">
        <v>2036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27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2">
      <c r="A20"/>
      <c r="B20"/>
      <c r="C20"/>
      <c r="D20"/>
      <c r="E20"/>
      <c r="F20"/>
      <c r="G20"/>
      <c r="H20"/>
      <c r="I20"/>
      <c r="J20"/>
      <c r="K20" s="27">
        <v>2038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27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2">
      <c r="A21"/>
      <c r="B21"/>
      <c r="C21"/>
      <c r="D21"/>
      <c r="E21"/>
      <c r="F21"/>
      <c r="G21"/>
      <c r="H21"/>
      <c r="I21"/>
      <c r="J21"/>
      <c r="K21" s="27">
        <v>2040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27"/>
      <c r="AE21"/>
      <c r="AF21"/>
      <c r="AG21"/>
      <c r="AH21"/>
      <c r="AI21"/>
      <c r="AJ21"/>
      <c r="AK21"/>
      <c r="AL21"/>
      <c r="AM21"/>
      <c r="AN21"/>
    </row>
    <row r="22" spans="1:40" x14ac:dyDescent="0.2">
      <c r="K22" s="27">
        <v>2042</v>
      </c>
      <c r="AD22" s="27"/>
    </row>
    <row r="23" spans="1:40" x14ac:dyDescent="0.2">
      <c r="K23" s="27">
        <v>2044</v>
      </c>
      <c r="AD23" s="27"/>
    </row>
    <row r="24" spans="1:40" x14ac:dyDescent="0.2">
      <c r="K24" s="27">
        <v>2046</v>
      </c>
      <c r="AD24" s="27"/>
    </row>
    <row r="25" spans="1:40" x14ac:dyDescent="0.2">
      <c r="K25" s="27">
        <v>2048</v>
      </c>
      <c r="AD25" s="27"/>
    </row>
    <row r="26" spans="1:40" x14ac:dyDescent="0.2">
      <c r="K26" s="27">
        <v>2050</v>
      </c>
      <c r="AD26" s="27"/>
    </row>
    <row r="27" spans="1:40" x14ac:dyDescent="0.2">
      <c r="K27" s="27">
        <v>2052</v>
      </c>
      <c r="AD27" s="27"/>
    </row>
    <row r="28" spans="1:40" x14ac:dyDescent="0.2">
      <c r="K28" s="27">
        <v>2054</v>
      </c>
      <c r="AD28" s="27"/>
    </row>
    <row r="29" spans="1:40" x14ac:dyDescent="0.2">
      <c r="K29" s="27">
        <v>2056</v>
      </c>
      <c r="AD29" s="27"/>
    </row>
    <row r="30" spans="1:40" x14ac:dyDescent="0.2">
      <c r="K30" s="27">
        <v>2058</v>
      </c>
      <c r="AD30" s="27"/>
    </row>
    <row r="31" spans="1:40" x14ac:dyDescent="0.2">
      <c r="K31" s="27">
        <v>2060</v>
      </c>
      <c r="AD31" s="27"/>
    </row>
    <row r="32" spans="1:40" x14ac:dyDescent="0.2">
      <c r="K32" s="27">
        <v>2062</v>
      </c>
      <c r="AD32" s="27"/>
    </row>
    <row r="33" spans="11:30" x14ac:dyDescent="0.2">
      <c r="K33" s="27">
        <v>2064</v>
      </c>
      <c r="AD33" s="27"/>
    </row>
    <row r="34" spans="11:30" x14ac:dyDescent="0.2">
      <c r="K34" s="27">
        <v>2066</v>
      </c>
      <c r="AD34" s="27"/>
    </row>
    <row r="35" spans="11:30" x14ac:dyDescent="0.2">
      <c r="K35" s="27">
        <v>2068</v>
      </c>
      <c r="AD35" s="27"/>
    </row>
    <row r="36" spans="11:30" x14ac:dyDescent="0.2">
      <c r="K36" s="27">
        <v>2070</v>
      </c>
      <c r="AD36" s="27"/>
    </row>
  </sheetData>
  <mergeCells count="14">
    <mergeCell ref="Z1:AG1"/>
    <mergeCell ref="AH1:AI1"/>
    <mergeCell ref="AJ1:AL2"/>
    <mergeCell ref="R9:S9"/>
    <mergeCell ref="T9:U9"/>
    <mergeCell ref="V9:W9"/>
    <mergeCell ref="Z4:AG4"/>
    <mergeCell ref="AH4:AI4"/>
    <mergeCell ref="B1:F1"/>
    <mergeCell ref="H1:M1"/>
    <mergeCell ref="O1:W1"/>
    <mergeCell ref="O4:P4"/>
    <mergeCell ref="R4:U4"/>
    <mergeCell ref="V4:W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BFCB-2461-43AB-9CFB-1B988F3A6F05}">
  <dimension ref="A1:AN36"/>
  <sheetViews>
    <sheetView topLeftCell="G1" zoomScale="80" zoomScaleNormal="80" workbookViewId="0">
      <selection activeCell="N10" sqref="N10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7" width="12.33203125" customWidth="1"/>
    <col min="28" max="28" width="15.6640625" bestFit="1" customWidth="1"/>
    <col min="29" max="29" width="27.1640625" bestFit="1" customWidth="1"/>
    <col min="30" max="30" width="18.1640625" customWidth="1"/>
    <col min="31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32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44" t="s">
        <v>116</v>
      </c>
      <c r="W9" s="45"/>
      <c r="X9" s="30"/>
      <c r="Y9" s="30"/>
      <c r="Z9" s="8"/>
      <c r="AA9" s="8"/>
      <c r="AB9" s="25" t="s">
        <v>99</v>
      </c>
      <c r="AC9" s="8"/>
      <c r="AD9" s="8" t="s">
        <v>135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2">
      <c r="A10" t="s">
        <v>146</v>
      </c>
      <c r="B10" t="s">
        <v>83</v>
      </c>
      <c r="C10" t="s">
        <v>84</v>
      </c>
      <c r="D10" t="s">
        <v>85</v>
      </c>
      <c r="E10" t="s">
        <v>147</v>
      </c>
      <c r="F10" t="s">
        <v>84</v>
      </c>
      <c r="G10" t="s">
        <v>100</v>
      </c>
      <c r="H10" t="s">
        <v>149</v>
      </c>
      <c r="I10" t="s">
        <v>150</v>
      </c>
      <c r="J10" t="s">
        <v>89</v>
      </c>
      <c r="K10" s="27">
        <v>2018</v>
      </c>
      <c r="L10">
        <v>2018</v>
      </c>
      <c r="M10">
        <v>10</v>
      </c>
      <c r="N10">
        <v>90</v>
      </c>
      <c r="O10">
        <v>0</v>
      </c>
      <c r="P10" t="s">
        <v>61</v>
      </c>
      <c r="Q10" t="s">
        <v>90</v>
      </c>
      <c r="R10">
        <v>2064.56456456456</v>
      </c>
      <c r="S10" t="s">
        <v>61</v>
      </c>
      <c r="T10">
        <v>7.0382882882882898</v>
      </c>
      <c r="U10" t="s">
        <v>132</v>
      </c>
      <c r="V10">
        <v>0</v>
      </c>
      <c r="W10" t="s">
        <v>93</v>
      </c>
      <c r="X10"/>
      <c r="Y10"/>
      <c r="Z10" t="s">
        <v>152</v>
      </c>
      <c r="AA10">
        <v>2.6</v>
      </c>
      <c r="AB10">
        <v>1</v>
      </c>
      <c r="AC10" t="s">
        <v>134</v>
      </c>
      <c r="AD10" s="27">
        <v>0.13091699323335201</v>
      </c>
      <c r="AE10" t="s">
        <v>109</v>
      </c>
      <c r="AF10">
        <v>1</v>
      </c>
      <c r="AG10" t="s">
        <v>109</v>
      </c>
      <c r="AH10">
        <v>0</v>
      </c>
      <c r="AI10" t="s">
        <v>98</v>
      </c>
      <c r="AJ10"/>
      <c r="AK10"/>
      <c r="AL10"/>
      <c r="AM10"/>
      <c r="AN10"/>
    </row>
    <row r="11" spans="1:40" s="26" customFormat="1" x14ac:dyDescent="0.2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1.07532792248349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2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>
        <v>3.3424466467599001</v>
      </c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2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>
        <v>7.5987671064828204</v>
      </c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2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>
        <v>13.619051619932799</v>
      </c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2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>
        <v>20.840357719790202</v>
      </c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2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>
        <v>28.513529907565299</v>
      </c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2">
      <c r="A17"/>
      <c r="B17"/>
      <c r="C17"/>
      <c r="D17"/>
      <c r="E17"/>
      <c r="F17"/>
      <c r="G17"/>
      <c r="H17"/>
      <c r="I17"/>
      <c r="J17"/>
      <c r="K17" s="27">
        <v>2032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7">
        <v>35.104239363153702</v>
      </c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2">
      <c r="A18"/>
      <c r="B18"/>
      <c r="C18"/>
      <c r="D18"/>
      <c r="E18"/>
      <c r="F18"/>
      <c r="G18"/>
      <c r="H18"/>
      <c r="I18"/>
      <c r="J18"/>
      <c r="K18" s="27">
        <v>2034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27">
        <v>39.791668191989203</v>
      </c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2">
      <c r="A19"/>
      <c r="B19"/>
      <c r="C19"/>
      <c r="D19"/>
      <c r="E19"/>
      <c r="F19"/>
      <c r="G19"/>
      <c r="H19"/>
      <c r="I19"/>
      <c r="J19"/>
      <c r="K19" s="27">
        <v>2036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27">
        <v>42.967000460878097</v>
      </c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2">
      <c r="A20"/>
      <c r="B20"/>
      <c r="C20"/>
      <c r="D20"/>
      <c r="E20"/>
      <c r="F20"/>
      <c r="G20"/>
      <c r="H20"/>
      <c r="I20"/>
      <c r="J20"/>
      <c r="K20" s="27">
        <v>2038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27">
        <v>45.0792674990374</v>
      </c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2">
      <c r="A21"/>
      <c r="B21"/>
      <c r="C21"/>
      <c r="D21"/>
      <c r="E21"/>
      <c r="F21"/>
      <c r="G21"/>
      <c r="H21"/>
      <c r="I21"/>
      <c r="J21"/>
      <c r="K21" s="27">
        <v>2040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27">
        <v>46.645522476905697</v>
      </c>
      <c r="AE21"/>
      <c r="AF21"/>
      <c r="AG21"/>
      <c r="AH21"/>
      <c r="AI21"/>
      <c r="AJ21"/>
      <c r="AK21"/>
      <c r="AL21"/>
      <c r="AM21"/>
      <c r="AN21"/>
    </row>
    <row r="22" spans="1:40" x14ac:dyDescent="0.2">
      <c r="K22" s="27">
        <v>2042</v>
      </c>
      <c r="AD22" s="27">
        <v>48.143113455648603</v>
      </c>
    </row>
    <row r="23" spans="1:40" x14ac:dyDescent="0.2">
      <c r="K23" s="27">
        <v>2044</v>
      </c>
      <c r="AD23" s="27">
        <v>49.640704434391402</v>
      </c>
    </row>
    <row r="24" spans="1:40" x14ac:dyDescent="0.2">
      <c r="K24" s="27">
        <v>2046</v>
      </c>
      <c r="AD24" s="27">
        <v>51.138295413134301</v>
      </c>
    </row>
    <row r="25" spans="1:40" x14ac:dyDescent="0.2">
      <c r="K25" s="27">
        <v>2048</v>
      </c>
      <c r="AD25" s="27">
        <v>52.635886391877101</v>
      </c>
    </row>
    <row r="26" spans="1:40" x14ac:dyDescent="0.2">
      <c r="K26" s="27">
        <v>2050</v>
      </c>
      <c r="AD26" s="27">
        <v>54.1334773706199</v>
      </c>
    </row>
    <row r="27" spans="1:40" x14ac:dyDescent="0.2">
      <c r="K27" s="27">
        <v>2052</v>
      </c>
      <c r="AD27" s="27">
        <v>55.334993037588198</v>
      </c>
    </row>
    <row r="28" spans="1:40" x14ac:dyDescent="0.2">
      <c r="K28" s="27">
        <v>2054</v>
      </c>
      <c r="AD28" s="27">
        <v>56.756600429840397</v>
      </c>
    </row>
    <row r="29" spans="1:40" x14ac:dyDescent="0.2">
      <c r="K29" s="27">
        <v>2056</v>
      </c>
      <c r="AD29" s="27">
        <v>58.178207822092702</v>
      </c>
    </row>
    <row r="30" spans="1:40" x14ac:dyDescent="0.2">
      <c r="K30" s="27">
        <v>2058</v>
      </c>
      <c r="AD30" s="27">
        <v>59.5998152143449</v>
      </c>
    </row>
    <row r="31" spans="1:40" x14ac:dyDescent="0.2">
      <c r="K31" s="27">
        <v>2060</v>
      </c>
      <c r="AD31" s="27">
        <v>61.021422606597199</v>
      </c>
    </row>
    <row r="32" spans="1:40" x14ac:dyDescent="0.2">
      <c r="K32" s="27">
        <v>2062</v>
      </c>
      <c r="AD32" s="27">
        <v>61.021422606597199</v>
      </c>
    </row>
    <row r="33" spans="11:30" x14ac:dyDescent="0.2">
      <c r="K33" s="27">
        <v>2064</v>
      </c>
      <c r="AD33" s="27">
        <v>61.021422606597199</v>
      </c>
    </row>
    <row r="34" spans="11:30" x14ac:dyDescent="0.2">
      <c r="K34" s="27">
        <v>2066</v>
      </c>
      <c r="AD34" s="27">
        <v>61.021422606597199</v>
      </c>
    </row>
    <row r="35" spans="11:30" x14ac:dyDescent="0.2">
      <c r="K35" s="27">
        <v>2068</v>
      </c>
      <c r="AD35" s="27">
        <v>61.021422606597199</v>
      </c>
    </row>
    <row r="36" spans="11:30" x14ac:dyDescent="0.2">
      <c r="K36" s="27">
        <v>2070</v>
      </c>
      <c r="AD36" s="27">
        <v>61.021422606597199</v>
      </c>
    </row>
  </sheetData>
  <mergeCells count="14">
    <mergeCell ref="Z1:AG1"/>
    <mergeCell ref="AH1:AI1"/>
    <mergeCell ref="AJ1:AL2"/>
    <mergeCell ref="R9:S9"/>
    <mergeCell ref="T9:U9"/>
    <mergeCell ref="V9:W9"/>
    <mergeCell ref="Z4:AG4"/>
    <mergeCell ref="AH4:AI4"/>
    <mergeCell ref="B1:F1"/>
    <mergeCell ref="H1:M1"/>
    <mergeCell ref="O1:W1"/>
    <mergeCell ref="O4:P4"/>
    <mergeCell ref="R4:U4"/>
    <mergeCell ref="V4:W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A99C-2AAC-4B58-B017-4DDF45749DA4}">
  <dimension ref="A1:AN36"/>
  <sheetViews>
    <sheetView topLeftCell="D1" zoomScale="80" zoomScaleNormal="80" workbookViewId="0">
      <selection activeCell="F16" sqref="F16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7" width="12.33203125" customWidth="1"/>
    <col min="28" max="28" width="15.6640625" bestFit="1" customWidth="1"/>
    <col min="29" max="29" width="27.1640625" bestFit="1" customWidth="1"/>
    <col min="30" max="30" width="18.1640625" customWidth="1"/>
    <col min="31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32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44" t="s">
        <v>116</v>
      </c>
      <c r="W9" s="45"/>
      <c r="X9" s="30"/>
      <c r="Y9" s="30"/>
      <c r="Z9" s="8"/>
      <c r="AA9" s="8"/>
      <c r="AB9" s="25" t="s">
        <v>99</v>
      </c>
      <c r="AC9" s="8"/>
      <c r="AD9" s="8" t="s">
        <v>135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2">
      <c r="A10" t="s">
        <v>141</v>
      </c>
      <c r="B10" t="s">
        <v>83</v>
      </c>
      <c r="C10" t="s">
        <v>84</v>
      </c>
      <c r="D10" t="s">
        <v>85</v>
      </c>
      <c r="E10" t="s">
        <v>158</v>
      </c>
      <c r="F10" t="s">
        <v>84</v>
      </c>
      <c r="G10" t="s">
        <v>100</v>
      </c>
      <c r="H10" t="s">
        <v>153</v>
      </c>
      <c r="I10" t="s">
        <v>154</v>
      </c>
      <c r="J10" t="s">
        <v>89</v>
      </c>
      <c r="K10" s="27">
        <v>2018</v>
      </c>
      <c r="L10">
        <v>2018</v>
      </c>
      <c r="M10">
        <v>15</v>
      </c>
      <c r="N10"/>
      <c r="O10">
        <v>0</v>
      </c>
      <c r="P10" t="s">
        <v>61</v>
      </c>
      <c r="Q10" t="s">
        <v>90</v>
      </c>
      <c r="R10">
        <v>137.96007013983501</v>
      </c>
      <c r="S10" t="s">
        <v>61</v>
      </c>
      <c r="T10">
        <v>6.20434902578618</v>
      </c>
      <c r="U10" t="s">
        <v>132</v>
      </c>
      <c r="V10">
        <v>0</v>
      </c>
      <c r="W10" t="s">
        <v>93</v>
      </c>
      <c r="X10"/>
      <c r="Y10"/>
      <c r="Z10" t="s">
        <v>145</v>
      </c>
      <c r="AA10">
        <v>1</v>
      </c>
      <c r="AB10">
        <v>1</v>
      </c>
      <c r="AC10" t="s">
        <v>134</v>
      </c>
      <c r="AD10" s="27">
        <v>0</v>
      </c>
      <c r="AE10" t="s">
        <v>109</v>
      </c>
      <c r="AF10">
        <v>1</v>
      </c>
      <c r="AG10" t="s">
        <v>109</v>
      </c>
      <c r="AH10">
        <v>20.816282484718599</v>
      </c>
      <c r="AI10" t="s">
        <v>98</v>
      </c>
      <c r="AJ10"/>
      <c r="AK10"/>
      <c r="AL10"/>
      <c r="AM10"/>
      <c r="AN10"/>
    </row>
    <row r="11" spans="1:40" s="26" customFormat="1" x14ac:dyDescent="0.2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2.3803481245403302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2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>
        <v>18.5679954976323</v>
      </c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2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>
        <v>90.216083491668599</v>
      </c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2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2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2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2">
      <c r="A17"/>
      <c r="B17"/>
      <c r="C17"/>
      <c r="D17"/>
      <c r="E17"/>
      <c r="F17"/>
      <c r="G17"/>
      <c r="H17"/>
      <c r="I17"/>
      <c r="J17"/>
      <c r="K17" s="27">
        <v>2032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2">
      <c r="A18"/>
      <c r="B18"/>
      <c r="C18"/>
      <c r="D18"/>
      <c r="E18"/>
      <c r="F18"/>
      <c r="G18"/>
      <c r="H18"/>
      <c r="I18"/>
      <c r="J18"/>
      <c r="K18" s="27">
        <v>2034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27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2">
      <c r="A19"/>
      <c r="B19"/>
      <c r="C19"/>
      <c r="D19"/>
      <c r="E19"/>
      <c r="F19"/>
      <c r="G19"/>
      <c r="H19"/>
      <c r="I19"/>
      <c r="J19"/>
      <c r="K19" s="27">
        <v>2036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27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2">
      <c r="A20"/>
      <c r="B20"/>
      <c r="C20"/>
      <c r="D20"/>
      <c r="E20"/>
      <c r="F20"/>
      <c r="G20"/>
      <c r="H20"/>
      <c r="I20"/>
      <c r="J20"/>
      <c r="K20" s="27">
        <v>2038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27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2">
      <c r="A21"/>
      <c r="B21"/>
      <c r="C21"/>
      <c r="D21"/>
      <c r="E21"/>
      <c r="F21"/>
      <c r="G21"/>
      <c r="H21"/>
      <c r="I21"/>
      <c r="J21"/>
      <c r="K21" s="27">
        <v>2040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27"/>
      <c r="AE21"/>
      <c r="AF21"/>
      <c r="AG21"/>
      <c r="AH21"/>
      <c r="AI21"/>
      <c r="AJ21"/>
      <c r="AK21"/>
      <c r="AL21"/>
      <c r="AM21"/>
      <c r="AN21"/>
    </row>
    <row r="22" spans="1:40" x14ac:dyDescent="0.2">
      <c r="K22" s="27">
        <v>2042</v>
      </c>
      <c r="AD22" s="27"/>
    </row>
    <row r="23" spans="1:40" x14ac:dyDescent="0.2">
      <c r="K23" s="27">
        <v>2044</v>
      </c>
      <c r="AD23" s="27"/>
    </row>
    <row r="24" spans="1:40" x14ac:dyDescent="0.2">
      <c r="K24" s="27">
        <v>2046</v>
      </c>
      <c r="AD24" s="27"/>
    </row>
    <row r="25" spans="1:40" x14ac:dyDescent="0.2">
      <c r="K25" s="27">
        <v>2048</v>
      </c>
      <c r="AD25" s="27"/>
    </row>
    <row r="26" spans="1:40" x14ac:dyDescent="0.2">
      <c r="K26" s="27">
        <v>2050</v>
      </c>
      <c r="AD26" s="27"/>
    </row>
    <row r="27" spans="1:40" x14ac:dyDescent="0.2">
      <c r="K27" s="27">
        <v>2052</v>
      </c>
      <c r="AD27" s="27"/>
    </row>
    <row r="28" spans="1:40" x14ac:dyDescent="0.2">
      <c r="K28" s="27">
        <v>2054</v>
      </c>
      <c r="AD28" s="27"/>
    </row>
    <row r="29" spans="1:40" x14ac:dyDescent="0.2">
      <c r="K29" s="27">
        <v>2056</v>
      </c>
      <c r="AD29" s="27"/>
    </row>
    <row r="30" spans="1:40" x14ac:dyDescent="0.2">
      <c r="K30" s="27">
        <v>2058</v>
      </c>
      <c r="AD30" s="27"/>
    </row>
    <row r="31" spans="1:40" x14ac:dyDescent="0.2">
      <c r="K31" s="27">
        <v>2060</v>
      </c>
      <c r="AD31" s="27"/>
    </row>
    <row r="32" spans="1:40" x14ac:dyDescent="0.2">
      <c r="K32" s="27">
        <v>2062</v>
      </c>
      <c r="AD32" s="27"/>
    </row>
    <row r="33" spans="11:30" x14ac:dyDescent="0.2">
      <c r="K33" s="27">
        <v>2064</v>
      </c>
      <c r="AD33" s="27"/>
    </row>
    <row r="34" spans="11:30" x14ac:dyDescent="0.2">
      <c r="K34" s="27">
        <v>2066</v>
      </c>
      <c r="AD34" s="27"/>
    </row>
    <row r="35" spans="11:30" x14ac:dyDescent="0.2">
      <c r="K35" s="27">
        <v>2068</v>
      </c>
      <c r="AD35" s="27"/>
    </row>
    <row r="36" spans="11:30" x14ac:dyDescent="0.2">
      <c r="K36" s="27">
        <v>2070</v>
      </c>
      <c r="AD36" s="27"/>
    </row>
  </sheetData>
  <mergeCells count="14">
    <mergeCell ref="Z1:AG1"/>
    <mergeCell ref="AH1:AI1"/>
    <mergeCell ref="AJ1:AL2"/>
    <mergeCell ref="R9:S9"/>
    <mergeCell ref="T9:U9"/>
    <mergeCell ref="V9:W9"/>
    <mergeCell ref="Z4:AG4"/>
    <mergeCell ref="AH4:AI4"/>
    <mergeCell ref="B1:F1"/>
    <mergeCell ref="H1:M1"/>
    <mergeCell ref="O1:W1"/>
    <mergeCell ref="O4:P4"/>
    <mergeCell ref="R4:U4"/>
    <mergeCell ref="V4:W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640E-CB3F-4BF1-A86C-0E3DA1550B07}">
  <dimension ref="A1:AN21"/>
  <sheetViews>
    <sheetView topLeftCell="H1" zoomScale="80" zoomScaleNormal="80" workbookViewId="0">
      <selection activeCell="I32" sqref="I32"/>
    </sheetView>
  </sheetViews>
  <sheetFormatPr baseColWidth="10" defaultColWidth="8.83203125" defaultRowHeight="15" x14ac:dyDescent="0.2"/>
  <cols>
    <col min="2" max="2" width="11" customWidth="1"/>
    <col min="3" max="3" width="11.5" customWidth="1"/>
    <col min="4" max="4" width="16.33203125" customWidth="1"/>
    <col min="5" max="5" width="31.33203125" customWidth="1"/>
    <col min="6" max="6" width="12.5" customWidth="1"/>
    <col min="7" max="7" width="17.83203125" customWidth="1"/>
    <col min="8" max="8" width="20" customWidth="1"/>
    <col min="9" max="9" width="44.33203125" customWidth="1"/>
    <col min="10" max="10" width="6.6640625" customWidth="1"/>
    <col min="11" max="11" width="10.83203125" customWidth="1"/>
    <col min="12" max="12" width="15.33203125" customWidth="1"/>
    <col min="13" max="14" width="12.33203125" customWidth="1"/>
    <col min="15" max="15" width="18.5" bestFit="1" customWidth="1"/>
    <col min="17" max="17" width="21.5" bestFit="1" customWidth="1"/>
    <col min="18" max="18" width="29.83203125" bestFit="1" customWidth="1"/>
    <col min="19" max="19" width="22.83203125" bestFit="1" customWidth="1"/>
    <col min="20" max="20" width="22.5" bestFit="1" customWidth="1"/>
    <col min="21" max="21" width="17" customWidth="1"/>
    <col min="22" max="22" width="16.33203125" customWidth="1"/>
    <col min="23" max="23" width="25.33203125" bestFit="1" customWidth="1"/>
    <col min="24" max="25" width="25.33203125" customWidth="1"/>
    <col min="26" max="27" width="12.33203125" customWidth="1"/>
    <col min="28" max="28" width="15.6640625" bestFit="1" customWidth="1"/>
    <col min="29" max="29" width="27.1640625" bestFit="1" customWidth="1"/>
    <col min="30" max="30" width="18.1640625" customWidth="1"/>
    <col min="31" max="31" width="27.1640625" customWidth="1"/>
    <col min="32" max="32" width="21.5" bestFit="1" customWidth="1"/>
    <col min="33" max="33" width="8.1640625" bestFit="1" customWidth="1"/>
    <col min="34" max="34" width="11.5" bestFit="1" customWidth="1"/>
    <col min="35" max="35" width="16.1640625" customWidth="1"/>
    <col min="36" max="36" width="18.5" customWidth="1"/>
    <col min="37" max="37" width="18.1640625" customWidth="1"/>
    <col min="38" max="38" width="20.83203125" bestFit="1" customWidth="1"/>
    <col min="39" max="39" width="33.5" bestFit="1" customWidth="1"/>
  </cols>
  <sheetData>
    <row r="1" spans="1:40" x14ac:dyDescent="0.2">
      <c r="B1" s="46" t="s">
        <v>0</v>
      </c>
      <c r="C1" s="46"/>
      <c r="D1" s="46"/>
      <c r="E1" s="46"/>
      <c r="F1" s="46"/>
      <c r="G1" s="2"/>
      <c r="H1" s="47" t="s">
        <v>1</v>
      </c>
      <c r="I1" s="47"/>
      <c r="J1" s="47"/>
      <c r="K1" s="47"/>
      <c r="L1" s="47"/>
      <c r="M1" s="47"/>
      <c r="N1" s="31"/>
      <c r="O1" s="49" t="s">
        <v>2</v>
      </c>
      <c r="P1" s="49"/>
      <c r="Q1" s="49"/>
      <c r="R1" s="49"/>
      <c r="S1" s="49"/>
      <c r="T1" s="49"/>
      <c r="U1" s="49"/>
      <c r="V1" s="49"/>
      <c r="W1" s="49"/>
      <c r="X1" s="29"/>
      <c r="Y1" s="29"/>
      <c r="Z1" s="47" t="s">
        <v>3</v>
      </c>
      <c r="AA1" s="47"/>
      <c r="AB1" s="47"/>
      <c r="AC1" s="47"/>
      <c r="AD1" s="47"/>
      <c r="AE1" s="47"/>
      <c r="AF1" s="47"/>
      <c r="AG1" s="48"/>
      <c r="AH1" s="35" t="s">
        <v>4</v>
      </c>
      <c r="AI1" s="36"/>
      <c r="AJ1" s="39" t="s">
        <v>5</v>
      </c>
      <c r="AK1" s="40"/>
      <c r="AL1" s="40"/>
      <c r="AM1" s="9"/>
    </row>
    <row r="2" spans="1:40" ht="32" x14ac:dyDescent="0.2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151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125</v>
      </c>
      <c r="Y2" s="34" t="s">
        <v>126</v>
      </c>
      <c r="Z2" s="4" t="s">
        <v>28</v>
      </c>
      <c r="AA2" s="33" t="s">
        <v>124</v>
      </c>
      <c r="AB2" s="4" t="s">
        <v>29</v>
      </c>
      <c r="AC2" s="13" t="s">
        <v>30</v>
      </c>
      <c r="AD2" s="13"/>
      <c r="AE2" s="13"/>
      <c r="AF2" s="4" t="s">
        <v>96</v>
      </c>
      <c r="AG2" s="16" t="s">
        <v>31</v>
      </c>
      <c r="AH2" s="14" t="s">
        <v>32</v>
      </c>
      <c r="AI2" s="12" t="s">
        <v>33</v>
      </c>
      <c r="AJ2" s="41"/>
      <c r="AK2" s="42"/>
      <c r="AL2" s="42"/>
    </row>
    <row r="3" spans="1:40" x14ac:dyDescent="0.2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102</v>
      </c>
      <c r="AJ3" s="17"/>
      <c r="AK3" s="20"/>
      <c r="AL3" s="20"/>
    </row>
    <row r="4" spans="1:40" hidden="1" x14ac:dyDescent="0.2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50" t="s">
        <v>43</v>
      </c>
      <c r="P4" s="50"/>
      <c r="Q4" s="6"/>
      <c r="R4" s="50" t="s">
        <v>44</v>
      </c>
      <c r="S4" s="50"/>
      <c r="T4" s="50"/>
      <c r="U4" s="50"/>
      <c r="V4" s="50" t="s">
        <v>45</v>
      </c>
      <c r="W4" s="50"/>
      <c r="X4" s="6"/>
      <c r="Y4" s="6"/>
      <c r="Z4" s="51" t="s">
        <v>46</v>
      </c>
      <c r="AA4" s="51"/>
      <c r="AB4" s="51"/>
      <c r="AC4" s="51"/>
      <c r="AD4" s="51"/>
      <c r="AE4" s="51"/>
      <c r="AF4" s="51"/>
      <c r="AG4" s="52"/>
      <c r="AH4" s="37" t="s">
        <v>47</v>
      </c>
      <c r="AI4" s="38"/>
      <c r="AJ4" s="18" t="s">
        <v>48</v>
      </c>
      <c r="AK4" s="19" t="s">
        <v>49</v>
      </c>
      <c r="AL4" s="19" t="s">
        <v>32</v>
      </c>
    </row>
    <row r="5" spans="1:40" hidden="1" x14ac:dyDescent="0.2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2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2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96" x14ac:dyDescent="0.2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110</v>
      </c>
      <c r="AE8" s="8" t="s">
        <v>101</v>
      </c>
      <c r="AF8" s="8" t="s">
        <v>95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32" x14ac:dyDescent="0.2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43" t="s">
        <v>78</v>
      </c>
      <c r="S9" s="43"/>
      <c r="T9" s="44" t="s">
        <v>79</v>
      </c>
      <c r="U9" s="45"/>
      <c r="V9" s="44" t="s">
        <v>116</v>
      </c>
      <c r="W9" s="45"/>
      <c r="X9" s="30"/>
      <c r="Y9" s="30"/>
      <c r="Z9" s="8"/>
      <c r="AA9" s="8"/>
      <c r="AB9" s="25" t="s">
        <v>99</v>
      </c>
      <c r="AC9" s="8"/>
      <c r="AD9" s="8" t="s">
        <v>135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2">
      <c r="A10" t="s">
        <v>141</v>
      </c>
      <c r="B10" t="s">
        <v>83</v>
      </c>
      <c r="C10" t="s">
        <v>84</v>
      </c>
      <c r="D10" t="s">
        <v>85</v>
      </c>
      <c r="E10" t="s">
        <v>157</v>
      </c>
      <c r="F10" t="s">
        <v>84</v>
      </c>
      <c r="G10" t="s">
        <v>100</v>
      </c>
      <c r="H10" t="s">
        <v>155</v>
      </c>
      <c r="I10" t="s">
        <v>156</v>
      </c>
      <c r="J10" t="s">
        <v>89</v>
      </c>
      <c r="K10" s="27">
        <v>2018</v>
      </c>
      <c r="L10">
        <v>2018</v>
      </c>
      <c r="M10">
        <v>20</v>
      </c>
      <c r="N10">
        <v>0</v>
      </c>
      <c r="O10">
        <v>0</v>
      </c>
      <c r="P10" t="s">
        <v>61</v>
      </c>
      <c r="Q10" t="s">
        <v>90</v>
      </c>
      <c r="R10">
        <v>34.880771182140997</v>
      </c>
      <c r="S10" t="s">
        <v>61</v>
      </c>
      <c r="T10">
        <v>3.6943870440506998</v>
      </c>
      <c r="U10" t="s">
        <v>132</v>
      </c>
      <c r="V10">
        <v>0</v>
      </c>
      <c r="W10" t="s">
        <v>93</v>
      </c>
      <c r="X10"/>
      <c r="Y10"/>
      <c r="Z10">
        <v>0</v>
      </c>
      <c r="AA10">
        <v>1</v>
      </c>
      <c r="AB10">
        <v>1</v>
      </c>
      <c r="AC10" t="s">
        <v>134</v>
      </c>
      <c r="AD10" s="27">
        <v>78.815227629513302</v>
      </c>
      <c r="AE10" t="s">
        <v>109</v>
      </c>
      <c r="AF10">
        <v>1</v>
      </c>
      <c r="AG10" t="s">
        <v>109</v>
      </c>
      <c r="AH10">
        <v>0.28373481946624801</v>
      </c>
      <c r="AI10" t="s">
        <v>98</v>
      </c>
      <c r="AJ10"/>
      <c r="AK10"/>
      <c r="AL10"/>
      <c r="AM10"/>
      <c r="AN10"/>
    </row>
    <row r="11" spans="1:40" s="26" customFormat="1" x14ac:dyDescent="0.2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206.45710743608899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2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>
        <v>371.04858388589997</v>
      </c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2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>
        <v>544.35634920202995</v>
      </c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2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>
        <v>651.27911729691198</v>
      </c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2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>
        <v>709.95842605350697</v>
      </c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2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>
        <v>773.69320405384804</v>
      </c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</sheetData>
  <mergeCells count="14">
    <mergeCell ref="B1:F1"/>
    <mergeCell ref="H1:M1"/>
    <mergeCell ref="O1:W1"/>
    <mergeCell ref="O4:P4"/>
    <mergeCell ref="R4:U4"/>
    <mergeCell ref="V4:W4"/>
    <mergeCell ref="Z1:AG1"/>
    <mergeCell ref="AH1:AI1"/>
    <mergeCell ref="AJ1:AL2"/>
    <mergeCell ref="R9:S9"/>
    <mergeCell ref="T9:U9"/>
    <mergeCell ref="V9:W9"/>
    <mergeCell ref="Z4:AG4"/>
    <mergeCell ref="AH4:AI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3A72E95D6C74FA6CE9E44ACC43310" ma:contentTypeVersion="12" ma:contentTypeDescription="Create a new document." ma:contentTypeScope="" ma:versionID="48a2e2a749e7b2fd54ead75d411a4b67">
  <xsd:schema xmlns:xsd="http://www.w3.org/2001/XMLSchema" xmlns:xs="http://www.w3.org/2001/XMLSchema" xmlns:p="http://schemas.microsoft.com/office/2006/metadata/properties" xmlns:ns2="984c4d19-7ea2-4a6f-aeda-7b1561349114" targetNamespace="http://schemas.microsoft.com/office/2006/metadata/properties" ma:root="true" ma:fieldsID="7b4a723dc943b0cede59bfc5df35bd0e" ns2:_="">
    <xsd:import namespace="984c4d19-7ea2-4a6f-aeda-7b15613491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c4d19-7ea2-4a6f-aeda-7b1561349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4c4d19-7ea2-4a6f-aeda-7b15613491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874C74-C064-4975-9CDA-A47379C45A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4c4d19-7ea2-4a6f-aeda-7b15613491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D803F4-625A-425E-8AAE-F12A11C703E0}">
  <ds:schemaRefs>
    <ds:schemaRef ds:uri="984c4d19-7ea2-4a6f-aeda-7b1561349114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ECD891E-2CC8-4942-ADB6-01326D874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Power</vt:lpstr>
      <vt:lpstr>Industry</vt:lpstr>
      <vt:lpstr>Primary</vt:lpstr>
      <vt:lpstr>Transport</vt:lpstr>
      <vt:lpstr>Water</vt:lpstr>
      <vt:lpstr>Waste</vt:lpstr>
      <vt:lpstr>Building</vt:lpstr>
      <vt:lpstr>Household</vt:lpstr>
      <vt:lpstr>Agri</vt:lpstr>
      <vt:lpstr>InfoComm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 Zhaomin</dc:creator>
  <cp:keywords/>
  <dc:description/>
  <cp:lastModifiedBy>Fan Yazhuoting</cp:lastModifiedBy>
  <cp:revision/>
  <dcterms:created xsi:type="dcterms:W3CDTF">2026-01-21T02:06:54Z</dcterms:created>
  <dcterms:modified xsi:type="dcterms:W3CDTF">2026-03-31T02:15:41Z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0x0101009913A72E95D6C74FA6CE9E44ACC43310</vt:lpwstr>
  </property>
  <property fmtid="{D5CDD505-2E9C-101B-9397-08002B2CF9AE}" pid="3" name="MediaServiceImageTags">
    <vt:lpwstr/>
  </property>
</Properties>
</file>