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40" tabRatio="728" firstSheet="0" activeTab="0" autoFilterDateGrouping="1"/>
  </bookViews>
  <sheets>
    <sheet name="Power" sheetId="1" state="visible" r:id="rId1"/>
    <sheet name="Industry" sheetId="2" state="visible" r:id="rId2"/>
    <sheet name="Primary" sheetId="3" state="visible" r:id="rId3"/>
    <sheet name="Transport" sheetId="4" state="visible" r:id="rId4"/>
    <sheet name="Water" sheetId="5" state="visible" r:id="rId5"/>
    <sheet name="Waste" sheetId="6" state="visible" r:id="rId6"/>
    <sheet name="Building" sheetId="7" state="visible" r:id="rId7"/>
    <sheet name="Household" sheetId="8" state="visible" r:id="rId8"/>
    <sheet name="Agri" sheetId="9" state="visible" r:id="rId9"/>
    <sheet name="InfoComm" sheetId="10" state="visible" r:id="rId10"/>
  </sheets>
  <externalReferences>
    <externalReference r:id="rId11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sz val="8"/>
      <scheme val="minor"/>
    </font>
    <font>
      <name val="Aptos Narrow"/>
      <family val="2"/>
      <i val="1"/>
      <color rgb="FFFF0000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ptos Narrow"/>
      <sz val="1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1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10" borderId="1" applyAlignment="1" pivotButton="0" quotePrefix="0" xfId="0">
      <alignment wrapText="1"/>
    </xf>
    <xf numFmtId="0" fontId="5" fillId="0" borderId="0" pivotButton="0" quotePrefix="0" xfId="0"/>
    <xf numFmtId="0" fontId="3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5" fillId="5" borderId="5" pivotButton="0" quotePrefix="0" xfId="0"/>
    <xf numFmtId="0" fontId="3" fillId="11" borderId="6" applyAlignment="1" pivotButton="0" quotePrefix="0" xfId="0">
      <alignment wrapText="1"/>
    </xf>
    <xf numFmtId="0" fontId="4" fillId="11" borderId="1" pivotButton="0" quotePrefix="0" xfId="0"/>
    <xf numFmtId="0" fontId="0" fillId="0" borderId="5" applyAlignment="1" pivotButton="0" quotePrefix="0" xfId="0">
      <alignment horizontal="center"/>
    </xf>
    <xf numFmtId="0" fontId="4" fillId="11" borderId="4" pivotButton="0" quotePrefix="0" xfId="0"/>
    <xf numFmtId="0" fontId="4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4" fillId="11" borderId="2" pivotButton="0" quotePrefix="0" xfId="0"/>
    <xf numFmtId="0" fontId="0" fillId="5" borderId="9" pivotButton="0" quotePrefix="0" xfId="0"/>
    <xf numFmtId="0" fontId="9" fillId="10" borderId="1" applyAlignment="1" pivotButton="0" quotePrefix="0" xfId="0">
      <alignment wrapText="1"/>
    </xf>
    <xf numFmtId="0" fontId="0" fillId="12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2" fillId="8" borderId="1" applyAlignment="1" pivotButton="0" quotePrefix="0" xfId="0">
      <alignment horizontal="center"/>
    </xf>
    <xf numFmtId="0" fontId="3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3" fillId="11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10" borderId="1" applyAlignment="1" pivotButton="0" quotePrefix="0" xfId="0">
      <alignment horizontal="center" wrapText="1"/>
    </xf>
    <xf numFmtId="0" fontId="3" fillId="10" borderId="2" applyAlignment="1" pivotButton="0" quotePrefix="0" xfId="0">
      <alignment horizontal="center" wrapText="1"/>
    </xf>
    <xf numFmtId="0" fontId="3" fillId="10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1" fillId="10" borderId="2" applyAlignment="1" pivotButton="0" quotePrefix="0" xfId="0">
      <alignment horizontal="center" wrapText="1"/>
    </xf>
    <xf numFmtId="0" fontId="0" fillId="0" borderId="12" pivotButton="0" quotePrefix="0" xfId="0"/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Koo Chia Wei</author>
    <author>Author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Z20" authorId="0" shapeId="0">
      <text>
        <t>Koo Chia Wei:
Applicable for all years</t>
      </text>
    </comment>
    <comment ref="I21" authorId="1" shapeId="0">
      <text>
        <t>Author:
No Minimum Investment Block</t>
      </text>
    </comment>
    <comment ref="M21" authorId="0" shapeId="0">
      <text>
        <t>Koo Chia Wei:
Lifetime applies across years</t>
      </text>
    </comment>
  </commentList>
</comments>
</file>

<file path=xl/comments/comment2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3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4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5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6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7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8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9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10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/Working/LCA/CE2M/WP1%20Data/SG-TIMES/SG_GREF_v8.14/VT_SG_PRI_GREF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egend"/>
      <sheetName val="Coef"/>
      <sheetName val="Data_BY"/>
      <sheetName val="Commodities"/>
      <sheetName val="Import"/>
      <sheetName val="Mining"/>
    </sheetNames>
    <sheetDataSet>
      <sheetData sheetId="0"/>
      <sheetData sheetId="1"/>
      <sheetData sheetId="2">
        <row r="2">
          <cell r="B2" t="str">
            <v>NGA</v>
          </cell>
          <cell r="E2">
            <v>22.326907459867794</v>
          </cell>
          <cell r="F2">
            <v>30.382403210576012</v>
          </cell>
          <cell r="G2">
            <v>31.628347497639275</v>
          </cell>
          <cell r="H2">
            <v>31.293325163175233</v>
          </cell>
          <cell r="I2">
            <v>30.961851542870168</v>
          </cell>
          <cell r="J2">
            <v>30.633889047074412</v>
          </cell>
          <cell r="K2">
            <v>30.477185741037495</v>
          </cell>
          <cell r="L2">
            <v>30.321284028493494</v>
          </cell>
          <cell r="M2">
            <v>30.166179809004817</v>
          </cell>
          <cell r="N2">
            <v>30.011869003109069</v>
          </cell>
          <cell r="O2">
            <v>29.858347552211761</v>
          </cell>
          <cell r="P2">
            <v>29.701602158095497</v>
          </cell>
          <cell r="Q2">
            <v>29.545679619917045</v>
          </cell>
          <cell r="R2">
            <v>29.390575617983966</v>
          </cell>
          <cell r="S2">
            <v>29.23628585528062</v>
          </cell>
          <cell r="T2">
            <v>29.082806057349124</v>
          </cell>
          <cell r="U2">
            <v>28.926016293664233</v>
          </cell>
          <cell r="V2">
            <v>28.770071807080456</v>
          </cell>
          <cell r="W2">
            <v>28.614968040582326</v>
          </cell>
          <cell r="X2">
            <v>28.460700461721935</v>
          </cell>
          <cell r="Y2">
            <v>28.30726456248647</v>
          </cell>
          <cell r="Z2">
            <v>28.30726456248647</v>
          </cell>
          <cell r="AA2">
            <v>28.30726456248647</v>
          </cell>
          <cell r="AB2">
            <v>28.30726456248647</v>
          </cell>
          <cell r="AC2">
            <v>28.30726456248647</v>
          </cell>
          <cell r="AD2">
            <v>28.30726456248647</v>
          </cell>
        </row>
        <row r="3">
          <cell r="B3" t="str">
            <v>RGA</v>
          </cell>
          <cell r="E3">
            <v>6.6403576547675849</v>
          </cell>
          <cell r="F3">
            <v>13.235114603964803</v>
          </cell>
          <cell r="G3">
            <v>10.87281360723744</v>
          </cell>
          <cell r="H3">
            <v>10.751349720053494</v>
          </cell>
          <cell r="I3">
            <v>10.631172435498417</v>
          </cell>
          <cell r="J3">
            <v>10.512268125271964</v>
          </cell>
          <cell r="K3">
            <v>10.455454621431183</v>
          </cell>
          <cell r="L3">
            <v>10.398931738995531</v>
          </cell>
          <cell r="M3">
            <v>10.342697991332511</v>
          </cell>
          <cell r="N3">
            <v>10.286751899414277</v>
          </cell>
          <cell r="O3">
            <v>10.231091991778747</v>
          </cell>
          <cell r="P3">
            <v>10.174263228711354</v>
          </cell>
          <cell r="Q3">
            <v>10.117732795846214</v>
          </cell>
          <cell r="R3">
            <v>10.061499127058974</v>
          </cell>
          <cell r="S3">
            <v>10.005560664446866</v>
          </cell>
          <cell r="T3">
            <v>9.9499158582855394</v>
          </cell>
          <cell r="U3">
            <v>9.8930710088271105</v>
          </cell>
          <cell r="V3">
            <v>9.8365326184667374</v>
          </cell>
          <cell r="W3">
            <v>9.7802990350375207</v>
          </cell>
          <cell r="X3">
            <v>9.7243686152796371</v>
          </cell>
          <cell r="Y3">
            <v>9.6687397247923244</v>
          </cell>
          <cell r="Z3">
            <v>9.6687397247923244</v>
          </cell>
          <cell r="AA3">
            <v>9.6687397247923244</v>
          </cell>
          <cell r="AB3">
            <v>9.6687397247923244</v>
          </cell>
          <cell r="AC3">
            <v>9.6687397247923244</v>
          </cell>
          <cell r="AD3">
            <v>9.6687397247923244</v>
          </cell>
        </row>
        <row r="4">
          <cell r="B4" t="str">
            <v>TGA</v>
          </cell>
          <cell r="E4">
            <v>47.222222222222229</v>
          </cell>
          <cell r="F4">
            <v>58.032770316699249</v>
          </cell>
          <cell r="G4">
            <v>57.35506048110156</v>
          </cell>
          <cell r="H4">
            <v>56.747528701038171</v>
          </cell>
          <cell r="I4">
            <v>56.146432183368198</v>
          </cell>
          <cell r="J4">
            <v>55.551702762765281</v>
          </cell>
          <cell r="K4">
            <v>55.267535921737405</v>
          </cell>
          <cell r="L4">
            <v>54.984822695801867</v>
          </cell>
          <cell r="M4">
            <v>54.703555649197192</v>
          </cell>
          <cell r="N4">
            <v>54.423727384198557</v>
          </cell>
          <cell r="O4">
            <v>54.145330540923112</v>
          </cell>
          <cell r="P4">
            <v>53.861087377085873</v>
          </cell>
          <cell r="Q4">
            <v>53.578336385803148</v>
          </cell>
          <cell r="R4">
            <v>53.29706973371529</v>
          </cell>
          <cell r="S4">
            <v>53.017279628584888</v>
          </cell>
          <cell r="T4">
            <v>52.738958319080972</v>
          </cell>
          <cell r="U4">
            <v>52.454634695166199</v>
          </cell>
          <cell r="V4">
            <v>52.171843902495965</v>
          </cell>
          <cell r="W4">
            <v>51.890577677347437</v>
          </cell>
          <cell r="X4">
            <v>51.610827800548748</v>
          </cell>
          <cell r="Y4">
            <v>51.332586097238796</v>
          </cell>
          <cell r="Z4">
            <v>51.332586097238796</v>
          </cell>
          <cell r="AA4">
            <v>51.332586097238796</v>
          </cell>
          <cell r="AB4">
            <v>51.332586097238796</v>
          </cell>
          <cell r="AC4">
            <v>51.332586097238796</v>
          </cell>
          <cell r="AD4">
            <v>51.332586097238796</v>
          </cell>
        </row>
        <row r="5">
          <cell r="B5" t="str">
            <v>LPG</v>
          </cell>
          <cell r="E5">
            <v>44.155057540884314</v>
          </cell>
          <cell r="F5">
            <v>55.602665051483953</v>
          </cell>
          <cell r="G5">
            <v>60.508782556026652</v>
          </cell>
          <cell r="H5">
            <v>59.867845068255285</v>
          </cell>
          <cell r="I5">
            <v>59.233696691847221</v>
          </cell>
          <cell r="J5">
            <v>58.606265513341334</v>
          </cell>
          <cell r="K5">
            <v>58.306473490646958</v>
          </cell>
          <cell r="L5">
            <v>58.008215011441209</v>
          </cell>
          <cell r="M5">
            <v>57.711482231100312</v>
          </cell>
          <cell r="N5">
            <v>57.416267345128539</v>
          </cell>
          <cell r="O5">
            <v>57.122562588952938</v>
          </cell>
          <cell r="P5">
            <v>56.822690046767562</v>
          </cell>
          <cell r="Q5">
            <v>56.524391725651419</v>
          </cell>
          <cell r="R5">
            <v>56.22765936152021</v>
          </cell>
          <cell r="S5">
            <v>55.932484733673</v>
          </cell>
          <cell r="T5">
            <v>55.638859664564578</v>
          </cell>
          <cell r="U5">
            <v>55.338902238128426</v>
          </cell>
          <cell r="V5">
            <v>55.040561927107966</v>
          </cell>
          <cell r="W5">
            <v>54.743830013391751</v>
          </cell>
          <cell r="X5">
            <v>54.448697825868997</v>
          </cell>
          <cell r="Y5">
            <v>54.155156740176182</v>
          </cell>
          <cell r="Z5">
            <v>54.155156740176182</v>
          </cell>
          <cell r="AA5">
            <v>54.155156740176182</v>
          </cell>
          <cell r="AB5">
            <v>54.155156740176182</v>
          </cell>
          <cell r="AC5">
            <v>54.155156740176182</v>
          </cell>
          <cell r="AD5">
            <v>54.155156740176182</v>
          </cell>
        </row>
        <row r="6">
          <cell r="B6" t="str">
            <v>OIL</v>
          </cell>
          <cell r="E6">
            <v>10.63728291332543</v>
          </cell>
          <cell r="F6">
            <v>22.253995513053638</v>
          </cell>
          <cell r="G6">
            <v>20.01773193282596</v>
          </cell>
          <cell r="H6">
            <v>19.80569469998251</v>
          </cell>
          <cell r="I6">
            <v>19.59590346525027</v>
          </cell>
          <cell r="J6">
            <v>19.388334437960744</v>
          </cell>
          <cell r="K6">
            <v>19.289156168420465</v>
          </cell>
          <cell r="L6">
            <v>19.190485231223789</v>
          </cell>
          <cell r="M6">
            <v>19.092319031184207</v>
          </cell>
          <cell r="N6">
            <v>18.994654986390529</v>
          </cell>
          <cell r="O6">
            <v>18.897490528138949</v>
          </cell>
          <cell r="P6">
            <v>18.798285620852575</v>
          </cell>
          <cell r="Q6">
            <v>18.699601503012556</v>
          </cell>
          <cell r="R6">
            <v>18.601435440664954</v>
          </cell>
          <cell r="S6">
            <v>18.503784714208081</v>
          </cell>
          <cell r="T6">
            <v>18.406646618317165</v>
          </cell>
          <cell r="U6">
            <v>18.307413629319257</v>
          </cell>
          <cell r="V6">
            <v>18.208715620228862</v>
          </cell>
          <cell r="W6">
            <v>18.110549706889159</v>
          </cell>
          <cell r="X6">
            <v>18.012913020692263</v>
          </cell>
          <cell r="Y6">
            <v>17.91580270849537</v>
          </cell>
          <cell r="Z6">
            <v>17.91580270849537</v>
          </cell>
          <cell r="AA6">
            <v>17.91580270849537</v>
          </cell>
          <cell r="AB6">
            <v>17.91580270849537</v>
          </cell>
          <cell r="AC6">
            <v>17.91580270849537</v>
          </cell>
          <cell r="AD6">
            <v>17.91580270849537</v>
          </cell>
        </row>
        <row r="7">
          <cell r="B7" t="str">
            <v>GSL</v>
          </cell>
          <cell r="E7">
            <v>65.419326319823782</v>
          </cell>
          <cell r="F7">
            <v>90.029453840138444</v>
          </cell>
          <cell r="G7">
            <v>85.979686020339827</v>
          </cell>
          <cell r="H7">
            <v>85.068948741727056</v>
          </cell>
          <cell r="I7">
            <v>84.167858420774238</v>
          </cell>
          <cell r="J7">
            <v>83.276312872367996</v>
          </cell>
          <cell r="K7">
            <v>82.850324728270095</v>
          </cell>
          <cell r="L7">
            <v>82.426515665986102</v>
          </cell>
          <cell r="M7">
            <v>82.004874538732736</v>
          </cell>
          <cell r="N7">
            <v>81.585390256746365</v>
          </cell>
          <cell r="O7">
            <v>81.168051786991583</v>
          </cell>
          <cell r="P7">
            <v>80.741949229080291</v>
          </cell>
          <cell r="Q7">
            <v>80.318083553610592</v>
          </cell>
          <cell r="R7">
            <v>79.896443017768505</v>
          </cell>
          <cell r="S7">
            <v>79.477015940385584</v>
          </cell>
          <cell r="T7">
            <v>79.059790701615213</v>
          </cell>
          <cell r="U7">
            <v>78.633567527804558</v>
          </cell>
          <cell r="V7">
            <v>78.209642186966661</v>
          </cell>
          <cell r="W7">
            <v>77.788002291139762</v>
          </cell>
          <cell r="X7">
            <v>77.368635519147489</v>
          </cell>
          <cell r="Y7">
            <v>76.951529616238773</v>
          </cell>
          <cell r="Z7">
            <v>76.951529616238773</v>
          </cell>
          <cell r="AA7">
            <v>76.951529616238773</v>
          </cell>
          <cell r="AB7">
            <v>76.951529616238773</v>
          </cell>
          <cell r="AC7">
            <v>76.951529616238773</v>
          </cell>
          <cell r="AD7">
            <v>76.951529616238773</v>
          </cell>
        </row>
        <row r="8">
          <cell r="B8" t="str">
            <v>HFO</v>
          </cell>
          <cell r="E8">
            <v>13.28071530953517</v>
          </cell>
          <cell r="F8">
            <v>26.470229207929606</v>
          </cell>
          <cell r="G8">
            <v>21.745627214474879</v>
          </cell>
          <cell r="H8">
            <v>21.502699440106987</v>
          </cell>
          <cell r="I8">
            <v>21.262344870996834</v>
          </cell>
          <cell r="J8">
            <v>21.024536250543928</v>
          </cell>
          <cell r="K8">
            <v>20.910909242862367</v>
          </cell>
          <cell r="L8">
            <v>20.797863477991061</v>
          </cell>
          <cell r="M8">
            <v>20.685395982665021</v>
          </cell>
          <cell r="N8">
            <v>20.573503798828554</v>
          </cell>
          <cell r="O8">
            <v>20.462183983557495</v>
          </cell>
          <cell r="P8">
            <v>20.348526457422707</v>
          </cell>
          <cell r="Q8">
            <v>20.235465591692428</v>
          </cell>
          <cell r="R8">
            <v>20.122998254117949</v>
          </cell>
          <cell r="S8">
            <v>20.011121328893733</v>
          </cell>
          <cell r="T8">
            <v>19.899831716571079</v>
          </cell>
          <cell r="U8">
            <v>19.786142017654221</v>
          </cell>
          <cell r="V8">
            <v>19.673065236933475</v>
          </cell>
          <cell r="W8">
            <v>19.560598070075041</v>
          </cell>
          <cell r="X8">
            <v>19.448737230559274</v>
          </cell>
          <cell r="Y8">
            <v>19.337479449584649</v>
          </cell>
          <cell r="Z8">
            <v>19.337479449584649</v>
          </cell>
          <cell r="AA8">
            <v>19.337479449584649</v>
          </cell>
          <cell r="AB8">
            <v>19.337479449584649</v>
          </cell>
          <cell r="AC8">
            <v>19.337479449584649</v>
          </cell>
          <cell r="AD8">
            <v>19.337479449584649</v>
          </cell>
        </row>
        <row r="9">
          <cell r="B9" t="str">
            <v>DSL</v>
          </cell>
          <cell r="E9">
            <v>41.060677720850293</v>
          </cell>
          <cell r="F9">
            <v>78.490139044618601</v>
          </cell>
          <cell r="G9">
            <v>65.082570809238916</v>
          </cell>
          <cell r="H9">
            <v>64.393185604809275</v>
          </cell>
          <cell r="I9">
            <v>63.711102692747239</v>
          </cell>
          <cell r="J9">
            <v>63.03624472373717</v>
          </cell>
          <cell r="K9">
            <v>62.713791771936549</v>
          </cell>
          <cell r="L9">
            <v>62.392988282387073</v>
          </cell>
          <cell r="M9">
            <v>62.073825817498985</v>
          </cell>
          <cell r="N9">
            <v>61.756295982843831</v>
          </cell>
          <cell r="O9">
            <v>61.440390426933675</v>
          </cell>
          <cell r="P9">
            <v>61.117850869267713</v>
          </cell>
          <cell r="Q9">
            <v>60.79700452620434</v>
          </cell>
          <cell r="R9">
            <v>60.47784250898674</v>
          </cell>
          <cell r="S9">
            <v>60.160355975520822</v>
          </cell>
          <cell r="T9">
            <v>59.844536130130223</v>
          </cell>
          <cell r="U9">
            <v>59.521905271912068</v>
          </cell>
          <cell r="V9">
            <v>59.201013764976501</v>
          </cell>
          <cell r="W9">
            <v>58.88185223222024</v>
          </cell>
          <cell r="X9">
            <v>58.564411347093355</v>
          </cell>
          <cell r="Y9">
            <v>58.248681833326735</v>
          </cell>
          <cell r="Z9">
            <v>58.248681833326735</v>
          </cell>
          <cell r="AA9">
            <v>58.248681833326735</v>
          </cell>
          <cell r="AB9">
            <v>58.248681833326735</v>
          </cell>
          <cell r="AC9">
            <v>58.248681833326735</v>
          </cell>
          <cell r="AD9">
            <v>58.248681833326735</v>
          </cell>
        </row>
        <row r="10">
          <cell r="B10" t="str">
            <v>COA</v>
          </cell>
          <cell r="E10">
            <v>2.8621688572247468</v>
          </cell>
          <cell r="F10">
            <v>5.9184188137226785</v>
          </cell>
          <cell r="G10">
            <v>5.2034954113767284</v>
          </cell>
          <cell r="H10">
            <v>4.5749321479984388</v>
          </cell>
          <cell r="I10">
            <v>4.0222970338417197</v>
          </cell>
          <cell r="J10">
            <v>3.5364182254659782</v>
          </cell>
          <cell r="K10">
            <v>3.444735810793548</v>
          </cell>
          <cell r="L10">
            <v>3.3554302827403641</v>
          </cell>
          <cell r="M10">
            <v>3.2684400200018286</v>
          </cell>
          <cell r="N10">
            <v>3.1837049988191213</v>
          </cell>
          <cell r="O10">
            <v>3.1011667515624746</v>
          </cell>
          <cell r="P10">
            <v>3.063254681733703</v>
          </cell>
          <cell r="Q10">
            <v>3.025806090703024</v>
          </cell>
          <cell r="R10">
            <v>2.9888153123963561</v>
          </cell>
          <cell r="S10">
            <v>2.9522767500079312</v>
          </cell>
          <cell r="T10">
            <v>2.9161848751534856</v>
          </cell>
          <cell r="U10">
            <v>2.8782123917292162</v>
          </cell>
          <cell r="V10">
            <v>2.8407343589516425</v>
          </cell>
          <cell r="W10">
            <v>2.803744338436442</v>
          </cell>
          <cell r="X10">
            <v>2.767235975635348</v>
          </cell>
          <cell r="Y10">
            <v>2.7312029987444961</v>
          </cell>
          <cell r="Z10">
            <v>2.7312029987444961</v>
          </cell>
          <cell r="AA10">
            <v>2.7312029987444961</v>
          </cell>
          <cell r="AB10">
            <v>2.7312029987444961</v>
          </cell>
          <cell r="AC10">
            <v>2.7312029987444961</v>
          </cell>
          <cell r="AD10">
            <v>2.7312029987444961</v>
          </cell>
        </row>
        <row r="11">
          <cell r="B11" t="str">
            <v>PCK</v>
          </cell>
          <cell r="E11">
            <v>3.005277300085984</v>
          </cell>
          <cell r="F11">
            <v>6.2143397544088126</v>
          </cell>
          <cell r="G11">
            <v>5.4636701819455649</v>
          </cell>
          <cell r="H11">
            <v>4.8036787553983613</v>
          </cell>
          <cell r="I11">
            <v>4.2234118855338059</v>
          </cell>
          <cell r="J11">
            <v>3.7132391367392774</v>
          </cell>
          <cell r="K11">
            <v>3.6169726013332255</v>
          </cell>
          <cell r="L11">
            <v>3.5232017968773826</v>
          </cell>
          <cell r="M11">
            <v>3.4318620210019204</v>
          </cell>
          <cell r="N11">
            <v>3.3428902487600776</v>
          </cell>
          <cell r="O11">
            <v>3.2562250891405986</v>
          </cell>
          <cell r="P11">
            <v>3.2164174158203882</v>
          </cell>
          <cell r="Q11">
            <v>3.1770963952381752</v>
          </cell>
          <cell r="R11">
            <v>3.1382560780161741</v>
          </cell>
          <cell r="S11">
            <v>3.099890587508328</v>
          </cell>
          <cell r="T11">
            <v>3.0619941189111599</v>
          </cell>
          <cell r="U11">
            <v>3.022123011315677</v>
          </cell>
          <cell r="V11">
            <v>2.9827710768992248</v>
          </cell>
          <cell r="W11">
            <v>2.9439315553582643</v>
          </cell>
          <cell r="X11">
            <v>2.9055977744171155</v>
          </cell>
          <cell r="Y11">
            <v>2.8677631486817212</v>
          </cell>
          <cell r="Z11">
            <v>2.8677631486817212</v>
          </cell>
          <cell r="AA11">
            <v>2.8677631486817212</v>
          </cell>
          <cell r="AB11">
            <v>2.8677631486817212</v>
          </cell>
          <cell r="AC11">
            <v>2.8677631486817212</v>
          </cell>
          <cell r="AD11">
            <v>2.8677631486817212</v>
          </cell>
        </row>
        <row r="12">
          <cell r="B12" t="str">
            <v>BMS</v>
          </cell>
          <cell r="E12">
            <v>13.32847643827696</v>
          </cell>
          <cell r="F12">
            <v>13.370494362532524</v>
          </cell>
          <cell r="G12">
            <v>13.41251228678809</v>
          </cell>
          <cell r="H12">
            <v>13.454530211043654</v>
          </cell>
          <cell r="I12">
            <v>13.49654813529922</v>
          </cell>
          <cell r="J12">
            <v>13.538566059554785</v>
          </cell>
          <cell r="K12">
            <v>13.430101185313674</v>
          </cell>
          <cell r="L12">
            <v>13.321636311072565</v>
          </cell>
          <cell r="M12">
            <v>13.213171436831455</v>
          </cell>
          <cell r="N12">
            <v>13.104706562590346</v>
          </cell>
          <cell r="O12">
            <v>12.996241688349237</v>
          </cell>
          <cell r="P12">
            <v>12.996241688349237</v>
          </cell>
          <cell r="Q12">
            <v>12.996241688349237</v>
          </cell>
          <cell r="R12">
            <v>12.996241688349237</v>
          </cell>
          <cell r="S12">
            <v>12.996241688349237</v>
          </cell>
          <cell r="T12">
            <v>12.996241688349237</v>
          </cell>
          <cell r="U12">
            <v>12.996241688349237</v>
          </cell>
          <cell r="V12">
            <v>12.996241688349237</v>
          </cell>
          <cell r="W12">
            <v>12.996241688349237</v>
          </cell>
          <cell r="X12">
            <v>12.996241688349237</v>
          </cell>
          <cell r="Y12">
            <v>12.996241688349237</v>
          </cell>
          <cell r="Z12">
            <v>12.996241688349237</v>
          </cell>
          <cell r="AA12">
            <v>12.996241688349237</v>
          </cell>
          <cell r="AB12">
            <v>12.996241688349237</v>
          </cell>
          <cell r="AC12">
            <v>12.996241688349237</v>
          </cell>
          <cell r="AD12">
            <v>12.996241688349237</v>
          </cell>
        </row>
        <row r="13">
          <cell r="B13" t="str">
            <v>BDS</v>
          </cell>
          <cell r="E13">
            <v>41.060677720850293</v>
          </cell>
          <cell r="F13">
            <v>78.490139044618601</v>
          </cell>
          <cell r="G13">
            <v>65.082570809238916</v>
          </cell>
          <cell r="H13">
            <v>64.393185604809275</v>
          </cell>
          <cell r="I13">
            <v>63.711102692747239</v>
          </cell>
          <cell r="J13">
            <v>63.03624472373717</v>
          </cell>
          <cell r="K13">
            <v>62.713791771936549</v>
          </cell>
          <cell r="L13">
            <v>62.392988282387073</v>
          </cell>
          <cell r="M13">
            <v>62.073825817498985</v>
          </cell>
          <cell r="N13">
            <v>61.756295982843831</v>
          </cell>
          <cell r="O13">
            <v>61.440390426933675</v>
          </cell>
          <cell r="P13">
            <v>61.117850869267713</v>
          </cell>
          <cell r="Q13">
            <v>60.79700452620434</v>
          </cell>
          <cell r="R13">
            <v>60.47784250898674</v>
          </cell>
          <cell r="S13">
            <v>60.160355975520822</v>
          </cell>
          <cell r="T13">
            <v>59.844536130130223</v>
          </cell>
          <cell r="U13">
            <v>59.521905271912068</v>
          </cell>
          <cell r="V13">
            <v>59.201013764976501</v>
          </cell>
          <cell r="W13">
            <v>58.88185223222024</v>
          </cell>
          <cell r="X13">
            <v>58.564411347093355</v>
          </cell>
          <cell r="Y13">
            <v>58.248681833326735</v>
          </cell>
          <cell r="Z13">
            <v>58.248681833326735</v>
          </cell>
          <cell r="AA13">
            <v>58.248681833326735</v>
          </cell>
          <cell r="AB13">
            <v>58.248681833326735</v>
          </cell>
          <cell r="AC13">
            <v>58.248681833326735</v>
          </cell>
          <cell r="AD13">
            <v>58.248681833326735</v>
          </cell>
        </row>
        <row r="14">
          <cell r="B14" t="str">
            <v>BEN</v>
          </cell>
          <cell r="E14">
            <v>49.06449473986784</v>
          </cell>
          <cell r="F14">
            <v>67.522090380103833</v>
          </cell>
          <cell r="G14">
            <v>64.484764515254867</v>
          </cell>
          <cell r="H14">
            <v>63.801711556295288</v>
          </cell>
          <cell r="I14">
            <v>63.125893815580682</v>
          </cell>
          <cell r="J14">
            <v>62.457234654275993</v>
          </cell>
          <cell r="K14">
            <v>62.137743546202572</v>
          </cell>
          <cell r="L14">
            <v>61.819886749489577</v>
          </cell>
          <cell r="M14">
            <v>61.503655904049552</v>
          </cell>
          <cell r="N14">
            <v>61.189042692559774</v>
          </cell>
          <cell r="O14">
            <v>60.876038840243687</v>
          </cell>
          <cell r="P14">
            <v>60.556461921810218</v>
          </cell>
          <cell r="Q14">
            <v>60.238562665207944</v>
          </cell>
          <cell r="R14">
            <v>59.922332263326382</v>
          </cell>
          <cell r="S14">
            <v>59.607761955289192</v>
          </cell>
          <cell r="T14">
            <v>59.29484302621141</v>
          </cell>
          <cell r="U14">
            <v>58.975175645853419</v>
          </cell>
          <cell r="V14">
            <v>58.657231640224992</v>
          </cell>
          <cell r="W14">
            <v>58.341001718354818</v>
          </cell>
          <cell r="X14">
            <v>58.026476639360617</v>
          </cell>
          <cell r="Y14">
            <v>57.713647212179083</v>
          </cell>
          <cell r="Z14">
            <v>57.713647212179083</v>
          </cell>
          <cell r="AA14">
            <v>57.713647212179083</v>
          </cell>
          <cell r="AB14">
            <v>57.713647212179083</v>
          </cell>
          <cell r="AC14">
            <v>57.713647212179083</v>
          </cell>
          <cell r="AD14">
            <v>57.713647212179083</v>
          </cell>
        </row>
        <row r="15">
          <cell r="B15" t="str">
            <v>URA</v>
          </cell>
          <cell r="E15">
            <v>0.85373489746139286</v>
          </cell>
          <cell r="F15">
            <v>0.85635371616526212</v>
          </cell>
          <cell r="G15">
            <v>0.86028194422106607</v>
          </cell>
          <cell r="H15">
            <v>0.86421017227687003</v>
          </cell>
          <cell r="I15">
            <v>0.86813840033267398</v>
          </cell>
          <cell r="J15">
            <v>0.87206662838847793</v>
          </cell>
          <cell r="K15">
            <v>0.87599485644428188</v>
          </cell>
          <cell r="L15">
            <v>0.87992308450008583</v>
          </cell>
          <cell r="M15">
            <v>0.88516072190782447</v>
          </cell>
          <cell r="N15">
            <v>0.88908894996362842</v>
          </cell>
          <cell r="O15">
            <v>0.89432658737136705</v>
          </cell>
          <cell r="P15">
            <v>0.89825481542717101</v>
          </cell>
          <cell r="Q15">
            <v>0.90349245283490953</v>
          </cell>
          <cell r="R15">
            <v>0.90873009024264806</v>
          </cell>
          <cell r="S15">
            <v>0.9139677276503867</v>
          </cell>
          <cell r="T15">
            <v>0.91920536505812533</v>
          </cell>
          <cell r="U15">
            <v>0.92418112059547708</v>
          </cell>
          <cell r="V15">
            <v>0.9291568761328286</v>
          </cell>
          <cell r="W15">
            <v>0.93413263167018035</v>
          </cell>
          <cell r="X15">
            <v>0.93910838720753187</v>
          </cell>
          <cell r="Y15">
            <v>0.94408414274488361</v>
          </cell>
          <cell r="Z15">
            <v>0.94408414274488361</v>
          </cell>
          <cell r="AA15">
            <v>0.94408414274488361</v>
          </cell>
          <cell r="AB15">
            <v>0.94408414274488361</v>
          </cell>
          <cell r="AC15">
            <v>0.94408414274488361</v>
          </cell>
          <cell r="AD15">
            <v>0.94408414274488361</v>
          </cell>
        </row>
        <row r="16">
          <cell r="B16" t="str">
            <v>HYG</v>
          </cell>
          <cell r="E16">
            <v>65.752160650128403</v>
          </cell>
          <cell r="F16">
            <v>63.172012573984119</v>
          </cell>
          <cell r="G16">
            <v>60.591864497839836</v>
          </cell>
          <cell r="H16">
            <v>58.01171642169556</v>
          </cell>
          <cell r="I16">
            <v>55.431568345551284</v>
          </cell>
          <cell r="J16">
            <v>52.851420269407001</v>
          </cell>
          <cell r="K16">
            <v>50.532529152382907</v>
          </cell>
          <cell r="L16">
            <v>48.213638035358798</v>
          </cell>
          <cell r="M16">
            <v>46.165144730038747</v>
          </cell>
          <cell r="N16">
            <v>44.387049236422754</v>
          </cell>
          <cell r="O16">
            <v>42.608953742806762</v>
          </cell>
          <cell r="P16">
            <v>40.830858249190769</v>
          </cell>
          <cell r="Q16">
            <v>39.052762755574776</v>
          </cell>
          <cell r="R16">
            <v>37.274667261958776</v>
          </cell>
          <cell r="S16">
            <v>35.496571768342783</v>
          </cell>
          <cell r="T16">
            <v>33.71847627472679</v>
          </cell>
          <cell r="U16">
            <v>33.116447686448097</v>
          </cell>
          <cell r="V16">
            <v>32.514419098169412</v>
          </cell>
          <cell r="W16">
            <v>31.912390509890717</v>
          </cell>
          <cell r="X16">
            <v>31.310361921612031</v>
          </cell>
          <cell r="Y16">
            <v>30.708333333333339</v>
          </cell>
          <cell r="Z16">
            <v>30.708333333333339</v>
          </cell>
          <cell r="AA16">
            <v>30.708333333333339</v>
          </cell>
          <cell r="AB16">
            <v>30.708333333333339</v>
          </cell>
          <cell r="AC16">
            <v>30.708333333333339</v>
          </cell>
          <cell r="AD16">
            <v>30.708333333333339</v>
          </cell>
        </row>
        <row r="17">
          <cell r="E17">
            <v>72.759</v>
          </cell>
          <cell r="F17">
            <v>69.489450000000005</v>
          </cell>
          <cell r="G17">
            <v>66.21990000000001</v>
          </cell>
          <cell r="H17">
            <v>62.95035</v>
          </cell>
          <cell r="I17">
            <v>59.680800000000005</v>
          </cell>
          <cell r="J17">
            <v>56.411250000000003</v>
          </cell>
          <cell r="K17">
            <v>54.615300000000005</v>
          </cell>
          <cell r="L17">
            <v>52.81935</v>
          </cell>
          <cell r="M17">
            <v>51.023400000000002</v>
          </cell>
          <cell r="N17">
            <v>49.227449999999997</v>
          </cell>
          <cell r="O17">
            <v>47.4315</v>
          </cell>
          <cell r="P17">
            <v>46.763775000000003</v>
          </cell>
          <cell r="Q17">
            <v>46.096050000000005</v>
          </cell>
          <cell r="R17">
            <v>45.428325000000001</v>
          </cell>
          <cell r="S17">
            <v>44.760599999999997</v>
          </cell>
          <cell r="T17">
            <v>44.092875000000006</v>
          </cell>
          <cell r="U17">
            <v>43.310025000000003</v>
          </cell>
          <cell r="V17">
            <v>42.527175</v>
          </cell>
          <cell r="W17">
            <v>41.744325000000003</v>
          </cell>
          <cell r="X17">
            <v>40.961475000000007</v>
          </cell>
          <cell r="Y17">
            <v>40.178625000000004</v>
          </cell>
          <cell r="Z17">
            <v>40.178625000000004</v>
          </cell>
          <cell r="AA17">
            <v>40.178625000000004</v>
          </cell>
          <cell r="AB17">
            <v>40.178625000000004</v>
          </cell>
          <cell r="AC17">
            <v>40.178625000000004</v>
          </cell>
          <cell r="AD17">
            <v>40.178625000000004</v>
          </cell>
        </row>
        <row r="18">
          <cell r="E18">
            <v>65.621250000000003</v>
          </cell>
          <cell r="F18">
            <v>60.555749999999996</v>
          </cell>
          <cell r="G18">
            <v>55.490250000000003</v>
          </cell>
          <cell r="H18">
            <v>50.424749999999996</v>
          </cell>
          <cell r="I18">
            <v>45.359250000000003</v>
          </cell>
          <cell r="J18">
            <v>40.293750000000003</v>
          </cell>
          <cell r="K18">
            <v>38.451750000000004</v>
          </cell>
          <cell r="L18">
            <v>36.609750000000005</v>
          </cell>
          <cell r="M18">
            <v>34.767749999999999</v>
          </cell>
          <cell r="N18">
            <v>32.925750000000001</v>
          </cell>
          <cell r="O18">
            <v>31.083750000000002</v>
          </cell>
          <cell r="P18">
            <v>29.702250000000003</v>
          </cell>
          <cell r="Q18">
            <v>28.32075</v>
          </cell>
          <cell r="R18">
            <v>26.939249999999998</v>
          </cell>
          <cell r="S18">
            <v>25.557750000000002</v>
          </cell>
          <cell r="T18">
            <v>24.17625</v>
          </cell>
          <cell r="U18">
            <v>23.554575000000003</v>
          </cell>
          <cell r="V18">
            <v>22.9329</v>
          </cell>
          <cell r="W18">
            <v>22.311225</v>
          </cell>
          <cell r="X18">
            <v>21.689550000000004</v>
          </cell>
          <cell r="Y18">
            <v>21.067875000000001</v>
          </cell>
          <cell r="Z18">
            <v>21.067875000000001</v>
          </cell>
          <cell r="AA18">
            <v>21.067875000000001</v>
          </cell>
          <cell r="AB18">
            <v>21.067875000000001</v>
          </cell>
          <cell r="AC18">
            <v>21.067875000000001</v>
          </cell>
          <cell r="AD18">
            <v>21.067875000000001</v>
          </cell>
        </row>
        <row r="19">
          <cell r="B19" t="str">
            <v>EEE</v>
          </cell>
          <cell r="E19">
            <v>94.44</v>
          </cell>
          <cell r="F19">
            <v>94.44</v>
          </cell>
          <cell r="G19">
            <v>94.44</v>
          </cell>
          <cell r="H19">
            <v>94.44</v>
          </cell>
          <cell r="I19">
            <v>94.44</v>
          </cell>
          <cell r="J19">
            <v>94.44</v>
          </cell>
          <cell r="K19">
            <v>94.44</v>
          </cell>
          <cell r="L19">
            <v>94.44</v>
          </cell>
          <cell r="M19">
            <v>94.44</v>
          </cell>
          <cell r="N19">
            <v>94.44</v>
          </cell>
          <cell r="O19">
            <v>94.44</v>
          </cell>
          <cell r="P19">
            <v>94.44</v>
          </cell>
          <cell r="Q19">
            <v>94.44</v>
          </cell>
          <cell r="R19">
            <v>94.44</v>
          </cell>
          <cell r="S19">
            <v>94.44</v>
          </cell>
          <cell r="T19">
            <v>94.44</v>
          </cell>
          <cell r="U19">
            <v>94.44</v>
          </cell>
          <cell r="V19">
            <v>94.44</v>
          </cell>
          <cell r="W19">
            <v>94.44</v>
          </cell>
          <cell r="X19">
            <v>94.44</v>
          </cell>
          <cell r="Y19">
            <v>94.44</v>
          </cell>
          <cell r="Z19">
            <v>94.44</v>
          </cell>
          <cell r="AA19">
            <v>94.44</v>
          </cell>
          <cell r="AB19">
            <v>94.44</v>
          </cell>
          <cell r="AC19">
            <v>94.44</v>
          </cell>
          <cell r="AD19">
            <v>94.44</v>
          </cell>
        </row>
        <row r="20">
          <cell r="B20" t="str">
            <v>LNG</v>
          </cell>
          <cell r="E20">
            <v>38.454861111111107</v>
          </cell>
          <cell r="F20">
            <v>56.837499999999991</v>
          </cell>
          <cell r="G20">
            <v>57.90069444444444</v>
          </cell>
          <cell r="H20">
            <v>57.253866155841138</v>
          </cell>
          <cell r="I20">
            <v>56.613889376734505</v>
          </cell>
          <cell r="J20">
            <v>55.980691532713116</v>
          </cell>
          <cell r="K20">
            <v>55.678144147552977</v>
          </cell>
          <cell r="L20">
            <v>55.377144400546605</v>
          </cell>
          <cell r="M20">
            <v>55.077684374970957</v>
          </cell>
          <cell r="N20">
            <v>54.779756194599855</v>
          </cell>
          <cell r="O20">
            <v>54.483352023496849</v>
          </cell>
          <cell r="P20">
            <v>54.180723378798042</v>
          </cell>
          <cell r="Q20">
            <v>53.879683423697756</v>
          </cell>
          <cell r="R20">
            <v>53.580223818157123</v>
          </cell>
          <cell r="S20">
            <v>53.282336265919525</v>
          </cell>
          <cell r="T20">
            <v>52.986012514280596</v>
          </cell>
          <cell r="U20">
            <v>52.683298205167269</v>
          </cell>
          <cell r="V20">
            <v>52.382215874237062</v>
          </cell>
          <cell r="W20">
            <v>52.082756723251158</v>
          </cell>
          <cell r="X20">
            <v>51.784912001403342</v>
          </cell>
          <cell r="Y20">
            <v>51.488673005064314</v>
          </cell>
          <cell r="Z20">
            <v>51.488673005064314</v>
          </cell>
          <cell r="AA20">
            <v>51.488673005064314</v>
          </cell>
          <cell r="AB20">
            <v>51.488673005064314</v>
          </cell>
          <cell r="AC20">
            <v>51.488673005064314</v>
          </cell>
          <cell r="AD20">
            <v>51.488673005064314</v>
          </cell>
        </row>
        <row r="21">
          <cell r="B21" t="str">
            <v>CNG</v>
          </cell>
          <cell r="E21">
            <v>41.961503069798319</v>
          </cell>
          <cell r="F21">
            <v>48.736842105263158</v>
          </cell>
          <cell r="G21">
            <v>50.735478933617124</v>
          </cell>
          <cell r="H21">
            <v>50.198064875112799</v>
          </cell>
          <cell r="I21">
            <v>49.666343359112226</v>
          </cell>
          <cell r="J21">
            <v>49.140254087527481</v>
          </cell>
          <cell r="K21">
            <v>48.888884101066516</v>
          </cell>
          <cell r="L21">
            <v>48.638799962049099</v>
          </cell>
          <cell r="M21">
            <v>48.389995092905359</v>
          </cell>
          <cell r="N21">
            <v>48.142462949712048</v>
          </cell>
          <cell r="O21">
            <v>47.896197022020452</v>
          </cell>
          <cell r="P21">
            <v>47.644759521476963</v>
          </cell>
          <cell r="Q21">
            <v>47.394641975765182</v>
          </cell>
          <cell r="R21">
            <v>47.145837455605445</v>
          </cell>
          <cell r="S21">
            <v>46.89833906809428</v>
          </cell>
          <cell r="T21">
            <v>46.652139956513437</v>
          </cell>
          <cell r="U21">
            <v>46.400631282118241</v>
          </cell>
          <cell r="V21">
            <v>46.150478528659484</v>
          </cell>
          <cell r="W21">
            <v>45.901674386164281</v>
          </cell>
          <cell r="X21">
            <v>45.654211584068932</v>
          </cell>
          <cell r="Y21">
            <v>45.408082891006401</v>
          </cell>
          <cell r="Z21">
            <v>45.408082891006401</v>
          </cell>
          <cell r="AA21">
            <v>45.408082891006401</v>
          </cell>
          <cell r="AB21">
            <v>45.408082891006401</v>
          </cell>
          <cell r="AC21">
            <v>45.408082891006401</v>
          </cell>
          <cell r="AD21">
            <v>45.408082891006401</v>
          </cell>
        </row>
        <row r="22">
          <cell r="B22" t="str">
            <v>2MM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B23" t="str">
            <v>3MM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CFO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B25" t="str">
            <v>NCH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NCW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NCC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NCM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B29" t="str">
            <v>NCI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NCV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NCT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NCA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B33" t="str">
            <v>NCF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AGG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WAG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WSG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B37" t="str">
            <v>LUF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9">
          <cell r="B39" t="str">
            <v>IMP-2</v>
          </cell>
          <cell r="E39">
            <v>94.44</v>
          </cell>
          <cell r="F39">
            <v>94.44</v>
          </cell>
          <cell r="G39">
            <v>94.44</v>
          </cell>
          <cell r="H39">
            <v>94.44</v>
          </cell>
          <cell r="I39">
            <v>94.44</v>
          </cell>
          <cell r="J39">
            <v>94.44</v>
          </cell>
          <cell r="K39">
            <v>94.44</v>
          </cell>
          <cell r="L39">
            <v>94.44</v>
          </cell>
          <cell r="M39">
            <v>94.44</v>
          </cell>
          <cell r="N39">
            <v>94.44</v>
          </cell>
          <cell r="O39">
            <v>94.44</v>
          </cell>
          <cell r="P39">
            <v>94.44</v>
          </cell>
          <cell r="Q39">
            <v>94.44</v>
          </cell>
          <cell r="R39">
            <v>94.44</v>
          </cell>
          <cell r="S39">
            <v>94.44</v>
          </cell>
          <cell r="T39">
            <v>94.44</v>
          </cell>
          <cell r="U39">
            <v>94.44</v>
          </cell>
          <cell r="V39">
            <v>94.44</v>
          </cell>
          <cell r="W39">
            <v>94.44</v>
          </cell>
          <cell r="X39">
            <v>94.44</v>
          </cell>
          <cell r="Y39">
            <v>94.44</v>
          </cell>
          <cell r="Z39">
            <v>94.44</v>
          </cell>
          <cell r="AA39">
            <v>94.44</v>
          </cell>
          <cell r="AB39">
            <v>94.44</v>
          </cell>
          <cell r="AC39">
            <v>94.44</v>
          </cell>
          <cell r="AD39">
            <v>94.44</v>
          </cell>
        </row>
        <row r="40">
          <cell r="B40" t="str">
            <v>H2 (KBR)</v>
          </cell>
          <cell r="E40">
            <v>72.759</v>
          </cell>
          <cell r="F40">
            <v>69.489450000000005</v>
          </cell>
          <cell r="G40">
            <v>66.21990000000001</v>
          </cell>
          <cell r="H40">
            <v>62.95035</v>
          </cell>
          <cell r="I40">
            <v>59.680800000000005</v>
          </cell>
          <cell r="J40">
            <v>56.411250000000003</v>
          </cell>
          <cell r="K40">
            <v>54.615300000000005</v>
          </cell>
          <cell r="L40">
            <v>52.81935</v>
          </cell>
          <cell r="M40">
            <v>51.023400000000002</v>
          </cell>
          <cell r="N40">
            <v>49.227449999999997</v>
          </cell>
          <cell r="O40">
            <v>47.4315</v>
          </cell>
          <cell r="P40">
            <v>46.763775000000003</v>
          </cell>
          <cell r="Q40">
            <v>46.096050000000005</v>
          </cell>
          <cell r="R40">
            <v>45.428325000000001</v>
          </cell>
          <cell r="S40">
            <v>44.760599999999997</v>
          </cell>
          <cell r="T40">
            <v>44.092875000000006</v>
          </cell>
          <cell r="U40">
            <v>43.310025000000003</v>
          </cell>
          <cell r="V40">
            <v>42.527175</v>
          </cell>
          <cell r="W40">
            <v>41.744325000000003</v>
          </cell>
          <cell r="X40">
            <v>40.961475000000007</v>
          </cell>
          <cell r="Y40">
            <v>40.178625000000004</v>
          </cell>
          <cell r="Z40">
            <v>40.178625000000004</v>
          </cell>
          <cell r="AA40">
            <v>40.178625000000004</v>
          </cell>
          <cell r="AB40">
            <v>40.178625000000004</v>
          </cell>
          <cell r="AC40">
            <v>40.178625000000004</v>
          </cell>
          <cell r="AD40">
            <v>40.178625000000004</v>
          </cell>
        </row>
        <row r="41">
          <cell r="B41" t="str">
            <v>H2 (McKinsey)</v>
          </cell>
          <cell r="E41">
            <v>65.621250000000003</v>
          </cell>
          <cell r="F41">
            <v>60.555749999999996</v>
          </cell>
          <cell r="G41">
            <v>55.490250000000003</v>
          </cell>
          <cell r="H41">
            <v>50.424749999999996</v>
          </cell>
          <cell r="I41">
            <v>45.359250000000003</v>
          </cell>
          <cell r="J41">
            <v>40.293750000000003</v>
          </cell>
          <cell r="K41">
            <v>38.451750000000004</v>
          </cell>
          <cell r="L41">
            <v>36.609750000000005</v>
          </cell>
          <cell r="M41">
            <v>34.767749999999999</v>
          </cell>
          <cell r="N41">
            <v>32.925750000000001</v>
          </cell>
          <cell r="O41">
            <v>31.083750000000002</v>
          </cell>
          <cell r="P41">
            <v>29.702250000000003</v>
          </cell>
          <cell r="Q41">
            <v>28.32075</v>
          </cell>
          <cell r="R41">
            <v>26.939249999999998</v>
          </cell>
          <cell r="S41">
            <v>25.557750000000002</v>
          </cell>
          <cell r="T41">
            <v>24.17625</v>
          </cell>
          <cell r="U41">
            <v>23.554575000000003</v>
          </cell>
          <cell r="V41">
            <v>22.9329</v>
          </cell>
          <cell r="W41">
            <v>22.311225</v>
          </cell>
          <cell r="X41">
            <v>21.689550000000004</v>
          </cell>
          <cell r="Y41">
            <v>21.067875000000001</v>
          </cell>
          <cell r="Z41">
            <v>21.067875000000001</v>
          </cell>
          <cell r="AA41">
            <v>21.067875000000001</v>
          </cell>
          <cell r="AB41">
            <v>21.067875000000001</v>
          </cell>
          <cell r="AC41">
            <v>21.067875000000001</v>
          </cell>
          <cell r="AD41">
            <v>21.067875000000001</v>
          </cell>
        </row>
        <row r="42">
          <cell r="B42" t="str">
            <v>IMP-3</v>
          </cell>
          <cell r="E42">
            <v>94.44</v>
          </cell>
          <cell r="F42">
            <v>94.44</v>
          </cell>
          <cell r="G42">
            <v>94.44</v>
          </cell>
          <cell r="H42">
            <v>94.44</v>
          </cell>
          <cell r="I42">
            <v>94.44</v>
          </cell>
          <cell r="J42">
            <v>94.44</v>
          </cell>
          <cell r="K42">
            <v>94.44</v>
          </cell>
          <cell r="L42">
            <v>94.44</v>
          </cell>
          <cell r="M42">
            <v>94.44</v>
          </cell>
          <cell r="N42">
            <v>94.44</v>
          </cell>
          <cell r="O42">
            <v>94.44</v>
          </cell>
          <cell r="P42">
            <v>94.44</v>
          </cell>
          <cell r="Q42">
            <v>94.44</v>
          </cell>
          <cell r="R42">
            <v>94.44</v>
          </cell>
          <cell r="S42">
            <v>94.44</v>
          </cell>
          <cell r="T42">
            <v>94.44</v>
          </cell>
          <cell r="U42">
            <v>94.44</v>
          </cell>
          <cell r="V42">
            <v>94.44</v>
          </cell>
          <cell r="W42">
            <v>94.44</v>
          </cell>
          <cell r="X42">
            <v>94.44</v>
          </cell>
          <cell r="Y42">
            <v>94.44</v>
          </cell>
          <cell r="Z42">
            <v>94.44</v>
          </cell>
          <cell r="AA42">
            <v>94.44</v>
          </cell>
          <cell r="AB42">
            <v>94.44</v>
          </cell>
          <cell r="AC42">
            <v>94.44</v>
          </cell>
          <cell r="AD42">
            <v>94.44</v>
          </cell>
        </row>
        <row r="43">
          <cell r="B43" t="str">
            <v>IMP-4</v>
          </cell>
          <cell r="E43">
            <v>97.22</v>
          </cell>
          <cell r="F43">
            <v>97.22</v>
          </cell>
          <cell r="G43">
            <v>97.22</v>
          </cell>
          <cell r="H43">
            <v>97.22</v>
          </cell>
          <cell r="I43">
            <v>97.22</v>
          </cell>
          <cell r="J43">
            <v>97.22</v>
          </cell>
          <cell r="K43">
            <v>97.22</v>
          </cell>
          <cell r="L43">
            <v>97.22</v>
          </cell>
          <cell r="M43">
            <v>97.22</v>
          </cell>
          <cell r="N43">
            <v>97.22</v>
          </cell>
          <cell r="O43">
            <v>97.22</v>
          </cell>
          <cell r="P43">
            <v>97.22</v>
          </cell>
          <cell r="Q43">
            <v>97.22</v>
          </cell>
          <cell r="R43">
            <v>97.22</v>
          </cell>
          <cell r="S43">
            <v>97.22</v>
          </cell>
          <cell r="T43">
            <v>97.22</v>
          </cell>
          <cell r="U43">
            <v>97.22</v>
          </cell>
          <cell r="V43">
            <v>97.22</v>
          </cell>
          <cell r="W43">
            <v>97.22</v>
          </cell>
          <cell r="X43">
            <v>97.22</v>
          </cell>
          <cell r="Y43">
            <v>97.22</v>
          </cell>
          <cell r="Z43">
            <v>97.22</v>
          </cell>
          <cell r="AA43">
            <v>97.22</v>
          </cell>
          <cell r="AB43">
            <v>97.22</v>
          </cell>
          <cell r="AC43">
            <v>97.22</v>
          </cell>
          <cell r="AD43">
            <v>97.22</v>
          </cell>
        </row>
        <row r="44">
          <cell r="E44">
            <v>2020</v>
          </cell>
          <cell r="F44">
            <v>2022</v>
          </cell>
          <cell r="G44">
            <v>2024</v>
          </cell>
          <cell r="H44">
            <v>2026</v>
          </cell>
          <cell r="I44">
            <v>2028</v>
          </cell>
          <cell r="J44">
            <v>2030</v>
          </cell>
          <cell r="K44">
            <v>2032</v>
          </cell>
          <cell r="L44">
            <v>2034</v>
          </cell>
          <cell r="M44">
            <v>2036</v>
          </cell>
          <cell r="N44">
            <v>2038</v>
          </cell>
          <cell r="O44">
            <v>2040</v>
          </cell>
          <cell r="P44">
            <v>2042</v>
          </cell>
          <cell r="Q44">
            <v>2044</v>
          </cell>
          <cell r="R44">
            <v>2046</v>
          </cell>
          <cell r="S44">
            <v>2048</v>
          </cell>
          <cell r="T44">
            <v>2050</v>
          </cell>
          <cell r="U44">
            <v>2052</v>
          </cell>
          <cell r="V44">
            <v>2054</v>
          </cell>
          <cell r="W44">
            <v>2056</v>
          </cell>
          <cell r="X44">
            <v>2058</v>
          </cell>
          <cell r="Y44">
            <v>2060</v>
          </cell>
          <cell r="Z44">
            <v>2062</v>
          </cell>
          <cell r="AA44">
            <v>2064</v>
          </cell>
          <cell r="AB44">
            <v>2066</v>
          </cell>
          <cell r="AC44">
            <v>2068</v>
          </cell>
          <cell r="AD44">
            <v>2070</v>
          </cell>
        </row>
        <row r="45">
          <cell r="B45" t="str">
            <v>Supply</v>
          </cell>
          <cell r="E45">
            <v>26.120124000000001</v>
          </cell>
          <cell r="F45">
            <v>37.935844590821866</v>
          </cell>
          <cell r="G45">
            <v>38.59949855578342</v>
          </cell>
          <cell r="H45">
            <v>35.030629628312838</v>
          </cell>
          <cell r="I45">
            <v>35.212508515621579</v>
          </cell>
          <cell r="J45">
            <v>36.979477069322982</v>
          </cell>
          <cell r="K45">
            <v>38.185759923193977</v>
          </cell>
          <cell r="L45">
            <v>39.224111845529052</v>
          </cell>
          <cell r="M45">
            <v>40.511778123831995</v>
          </cell>
          <cell r="N45">
            <v>41.613391711281018</v>
          </cell>
          <cell r="O45">
            <v>42.979506999619559</v>
          </cell>
          <cell r="P45">
            <v>44.148237151035872</v>
          </cell>
          <cell r="Q45">
            <v>45.597581672246804</v>
          </cell>
          <cell r="R45">
            <v>46.837518228300425</v>
          </cell>
          <cell r="S45">
            <v>48.37516353440499</v>
          </cell>
          <cell r="T45">
            <v>49.69064559884395</v>
          </cell>
          <cell r="U45">
            <v>51.321972329032086</v>
          </cell>
          <cell r="V45">
            <v>52.717603463064819</v>
          </cell>
          <cell r="W45">
            <v>54.448320184298673</v>
          </cell>
          <cell r="X45">
            <v>55.928984527337533</v>
          </cell>
          <cell r="Y45">
            <v>57.765147723587368</v>
          </cell>
          <cell r="Z45">
            <v>57.765147723587368</v>
          </cell>
          <cell r="AA45">
            <v>57.765147723587368</v>
          </cell>
          <cell r="AB45">
            <v>57.765147723587368</v>
          </cell>
          <cell r="AC45">
            <v>57.765147723587368</v>
          </cell>
          <cell r="AD45">
            <v>57.765147723587368</v>
          </cell>
        </row>
        <row r="46">
          <cell r="B46" t="str">
            <v>Supply</v>
          </cell>
          <cell r="E46">
            <v>181.561100638417</v>
          </cell>
          <cell r="F46">
            <v>174.37039946572671</v>
          </cell>
          <cell r="G46">
            <v>167.17969829303641</v>
          </cell>
          <cell r="H46">
            <v>159.98899712034611</v>
          </cell>
          <cell r="I46">
            <v>152.79829594765579</v>
          </cell>
          <cell r="J46">
            <v>145.60759477496555</v>
          </cell>
          <cell r="K46">
            <v>145.60759477496555</v>
          </cell>
          <cell r="L46">
            <v>145.60759477496555</v>
          </cell>
          <cell r="M46">
            <v>145.60759477496555</v>
          </cell>
          <cell r="N46">
            <v>145.60759477496555</v>
          </cell>
          <cell r="O46">
            <v>145.60759477496555</v>
          </cell>
          <cell r="P46">
            <v>145.60759477496555</v>
          </cell>
          <cell r="Q46">
            <v>145.60759477496555</v>
          </cell>
          <cell r="R46">
            <v>145.60759477496555</v>
          </cell>
          <cell r="S46">
            <v>145.60759477496555</v>
          </cell>
          <cell r="T46">
            <v>145.60759477496555</v>
          </cell>
          <cell r="U46">
            <v>145.60759477496555</v>
          </cell>
          <cell r="V46">
            <v>145.60759477496555</v>
          </cell>
          <cell r="W46">
            <v>145.60759477496555</v>
          </cell>
          <cell r="X46">
            <v>145.60759477496555</v>
          </cell>
          <cell r="Y46">
            <v>145.60759477496555</v>
          </cell>
          <cell r="Z46">
            <v>145.60759477496555</v>
          </cell>
          <cell r="AA46">
            <v>145.60759477496555</v>
          </cell>
          <cell r="AB46">
            <v>145.60759477496555</v>
          </cell>
          <cell r="AC46">
            <v>145.60759477496555</v>
          </cell>
          <cell r="AD46">
            <v>145.60759477496555</v>
          </cell>
        </row>
      </sheetData>
      <sheetData sheetId="3"/>
      <sheetData sheetId="4">
        <row r="7">
          <cell r="K7" t="str">
            <v>COA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"/>
  <sheetViews>
    <sheetView tabSelected="1" topLeftCell="A2" zoomScale="41" zoomScaleNormal="100" workbookViewId="0">
      <selection activeCell="AE31" sqref="AE31"/>
    </sheetView>
  </sheetViews>
  <sheetFormatPr baseColWidth="10" defaultColWidth="8.83203125" defaultRowHeight="15"/>
  <cols>
    <col width="11" customWidth="1" min="1" max="1"/>
    <col width="14" customWidth="1" min="2" max="2"/>
    <col width="15" customWidth="1" min="3" max="3"/>
    <col width="17" customWidth="1" min="4" max="4"/>
    <col width="38" customWidth="1" min="5" max="5"/>
    <col width="11" customWidth="1" min="6" max="6"/>
    <col width="19" customWidth="1" min="7" max="7"/>
    <col width="20" customWidth="1" min="8" max="8"/>
    <col width="50" customWidth="1" min="9" max="9"/>
    <col width="11" customWidth="1" min="10" max="10"/>
    <col width="14" customWidth="1" min="11" max="11"/>
    <col width="27" customWidth="1" min="12" max="12"/>
    <col width="31" customWidth="1" min="13" max="14"/>
    <col width="7" customWidth="1" min="14" max="14"/>
    <col width="19" bestFit="1" customWidth="1" min="15" max="15"/>
    <col width="13" customWidth="1" min="16" max="16"/>
    <col width="27" bestFit="1" customWidth="1" min="17" max="17"/>
    <col width="27" bestFit="1" customWidth="1" min="18" max="18"/>
    <col width="38" bestFit="1" customWidth="1" min="19" max="19"/>
    <col width="27" bestFit="1" customWidth="1" min="20" max="20"/>
    <col width="41" customWidth="1" min="21" max="21"/>
    <col width="50" customWidth="1" min="22" max="22"/>
    <col width="50" bestFit="1" customWidth="1" min="23" max="23"/>
    <col width="10" customWidth="1" min="24" max="25"/>
    <col width="10" customWidth="1" min="25" max="25"/>
    <col width="36" bestFit="1" customWidth="1" min="26" max="26"/>
    <col width="23" customWidth="1" min="27" max="27"/>
    <col width="17" bestFit="1" customWidth="1" min="28" max="28"/>
    <col width="43" bestFit="1" customWidth="1" min="29" max="29"/>
    <col width="18" customWidth="1" min="30" max="31"/>
    <col width="20" customWidth="1" min="31" max="31"/>
    <col width="29" bestFit="1" customWidth="1" min="32" max="32"/>
    <col width="11" bestFit="1" customWidth="1" min="33" max="33"/>
    <col width="37" bestFit="1" customWidth="1" min="34" max="34"/>
    <col width="32" customWidth="1" min="35" max="35"/>
    <col width="50" customWidth="1" min="36" max="36"/>
    <col width="26" customWidth="1" min="37" max="37"/>
    <col width="50" bestFit="1" customWidth="1" min="38" max="38"/>
    <col width="2" bestFit="1" customWidth="1" min="39" max="39"/>
    <col width="2" customWidth="1" min="40" max="40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n"/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s="60" t="inlineStr">
        <is>
          <t>Power</t>
        </is>
      </c>
      <c r="B10" s="60" t="inlineStr">
        <is>
          <t>ESI</t>
        </is>
      </c>
      <c r="C10" s="60" t="inlineStr">
        <is>
          <t>WP1</t>
        </is>
      </c>
      <c r="D10" s="60" t="inlineStr">
        <is>
          <t>GREF</t>
        </is>
      </c>
      <c r="E10" s="60" t="inlineStr">
        <is>
          <t>SG GREF v8.14; VT_SG_PWR_GREF</t>
        </is>
      </c>
      <c r="F10" s="60" t="inlineStr">
        <is>
          <t>WP1</t>
        </is>
      </c>
      <c r="G10" s="60" t="inlineStr">
        <is>
          <t>Scenario analysis</t>
        </is>
      </c>
      <c r="H10" s="60" t="inlineStr">
        <is>
          <t>PWRNGACCF01</t>
        </is>
      </c>
      <c r="I10" s="60" t="inlineStr">
        <is>
          <t>Natural gas-fired combined cycle plant F class</t>
        </is>
      </c>
      <c r="J10" s="60" t="inlineStr">
        <is>
          <t>SG</t>
        </is>
      </c>
      <c r="K10" s="61" t="n">
        <v>2018</v>
      </c>
      <c r="L10" s="60" t="n">
        <v>2018</v>
      </c>
      <c r="M10" s="60" t="n">
        <v>25</v>
      </c>
      <c r="N10" s="60" t="inlineStr">
        <is>
          <t>-</t>
        </is>
      </c>
      <c r="O10" s="60" t="n">
        <v>56.1</v>
      </c>
      <c r="P10" s="60" t="inlineStr">
        <is>
          <t>PJ</t>
        </is>
      </c>
      <c r="Q10" s="60" t="inlineStr">
        <is>
          <t>MSGD2016</t>
        </is>
      </c>
      <c r="R10" s="60" t="n">
        <v>1572.783037997916</v>
      </c>
      <c r="S10" s="60" t="inlineStr">
        <is>
          <t>GW</t>
        </is>
      </c>
      <c r="T10" s="60" t="n">
        <v>51.87710205442573</v>
      </c>
      <c r="U10" s="60" t="inlineStr">
        <is>
          <t>GW*yr(2018)</t>
        </is>
      </c>
      <c r="V10" s="60" t="n">
        <v>1.927324310760297</v>
      </c>
      <c r="W10" s="60" t="inlineStr">
        <is>
          <t>PJ (2018)</t>
        </is>
      </c>
      <c r="X10" s="60" t="inlineStr">
        <is>
          <t>-</t>
        </is>
      </c>
      <c r="Y10" s="60" t="inlineStr">
        <is>
          <t>-</t>
        </is>
      </c>
      <c r="Z10" s="60" t="n">
        <v>0.4970006013707277</v>
      </c>
      <c r="AA10" s="60" t="inlineStr">
        <is>
          <t>-</t>
        </is>
      </c>
      <c r="AB10" s="60" t="n">
        <v>1</v>
      </c>
      <c r="AC10" s="60" t="inlineStr">
        <is>
          <t>PWRNGA</t>
        </is>
      </c>
      <c r="AD10" s="60" t="inlineStr">
        <is>
          <t>-</t>
        </is>
      </c>
      <c r="AE10" s="60" t="inlineStr">
        <is>
          <t>-</t>
        </is>
      </c>
      <c r="AF10" s="60" t="n">
        <v>0.8</v>
      </c>
      <c r="AG10" s="60" t="n">
        <v>2.01207</v>
      </c>
      <c r="AH10" s="61" t="n">
        <v>9952.900000000001</v>
      </c>
      <c r="AI10" s="60" t="inlineStr">
        <is>
          <t>UP</t>
        </is>
      </c>
      <c r="AJ10" s="60" t="inlineStr">
        <is>
          <t>-</t>
        </is>
      </c>
      <c r="AK10" s="60" t="inlineStr">
        <is>
          <t>-</t>
        </is>
      </c>
      <c r="AL10" s="60" t="inlineStr">
        <is>
          <t>-</t>
        </is>
      </c>
    </row>
    <row r="11" customFormat="1" s="26">
      <c r="A11" s="60" t="inlineStr">
        <is>
          <t>Power</t>
        </is>
      </c>
      <c r="B11" s="60" t="inlineStr">
        <is>
          <t>ESI</t>
        </is>
      </c>
      <c r="C11" s="60" t="inlineStr">
        <is>
          <t>WP1</t>
        </is>
      </c>
      <c r="D11" s="60" t="inlineStr">
        <is>
          <t>GREF</t>
        </is>
      </c>
      <c r="E11" s="60" t="inlineStr">
        <is>
          <t>SG GREF v8.14; VT_SG_PWR_GREF</t>
        </is>
      </c>
      <c r="F11" s="60" t="inlineStr">
        <is>
          <t>WP1</t>
        </is>
      </c>
      <c r="G11" s="60" t="inlineStr">
        <is>
          <t>Scenario analysis</t>
        </is>
      </c>
      <c r="H11" s="60" t="inlineStr">
        <is>
          <t>PWRNGACCF01</t>
        </is>
      </c>
      <c r="I11" s="60" t="inlineStr">
        <is>
          <t>Natural gas-fired combined cycle plant F class</t>
        </is>
      </c>
      <c r="J11" s="60" t="inlineStr">
        <is>
          <t>SG</t>
        </is>
      </c>
      <c r="K11" s="61" t="n">
        <v>2024</v>
      </c>
      <c r="L11" s="60" t="n">
        <v>2018</v>
      </c>
      <c r="M11" s="60" t="n">
        <v>25</v>
      </c>
      <c r="N11" s="60" t="inlineStr">
        <is>
          <t>-</t>
        </is>
      </c>
      <c r="O11" s="60" t="n">
        <v>56.1</v>
      </c>
      <c r="P11" s="60" t="inlineStr">
        <is>
          <t>PJ</t>
        </is>
      </c>
      <c r="Q11" s="60" t="inlineStr">
        <is>
          <t>MSGD2016</t>
        </is>
      </c>
      <c r="R11" s="60" t="n">
        <v>1572.783037997916</v>
      </c>
      <c r="S11" s="60" t="inlineStr">
        <is>
          <t>GW</t>
        </is>
      </c>
      <c r="T11" s="60" t="n">
        <v>51.87710205442573</v>
      </c>
      <c r="U11" s="60" t="inlineStr">
        <is>
          <t>GW*yr(2018)</t>
        </is>
      </c>
      <c r="V11" s="60" t="n">
        <v>1.927324310760297</v>
      </c>
      <c r="W11" s="60" t="inlineStr">
        <is>
          <t>PJ (2018)</t>
        </is>
      </c>
      <c r="X11" s="60" t="inlineStr">
        <is>
          <t>-</t>
        </is>
      </c>
      <c r="Y11" s="60" t="inlineStr">
        <is>
          <t>-</t>
        </is>
      </c>
      <c r="Z11" s="60" t="n">
        <v>0.4970006013707277</v>
      </c>
      <c r="AA11" s="60" t="inlineStr">
        <is>
          <t>-</t>
        </is>
      </c>
      <c r="AB11" s="60" t="n">
        <v>1</v>
      </c>
      <c r="AC11" s="60" t="inlineStr">
        <is>
          <t>PWRNGA</t>
        </is>
      </c>
      <c r="AD11" s="60" t="inlineStr">
        <is>
          <t>-</t>
        </is>
      </c>
      <c r="AE11" s="60" t="inlineStr">
        <is>
          <t>-</t>
        </is>
      </c>
      <c r="AF11" s="60" t="n">
        <v>0.8</v>
      </c>
      <c r="AG11" s="60" t="n">
        <v>2.01207</v>
      </c>
      <c r="AH11" s="61" t="n">
        <v>9920.4</v>
      </c>
      <c r="AI11" s="60" t="inlineStr">
        <is>
          <t>UP</t>
        </is>
      </c>
      <c r="AJ11" s="60" t="inlineStr">
        <is>
          <t>-</t>
        </is>
      </c>
      <c r="AK11" s="60" t="inlineStr">
        <is>
          <t>-</t>
        </is>
      </c>
      <c r="AL11" s="60" t="inlineStr">
        <is>
          <t>-</t>
        </is>
      </c>
    </row>
    <row r="12" customFormat="1" s="26">
      <c r="A12" s="60" t="inlineStr">
        <is>
          <t>Power</t>
        </is>
      </c>
      <c r="B12" s="60" t="inlineStr">
        <is>
          <t>ESI</t>
        </is>
      </c>
      <c r="C12" s="60" t="inlineStr">
        <is>
          <t>WP1</t>
        </is>
      </c>
      <c r="D12" s="60" t="inlineStr">
        <is>
          <t>GREF</t>
        </is>
      </c>
      <c r="E12" s="60" t="inlineStr">
        <is>
          <t>SG GREF v8.14; VT_SG_PWR_GREF</t>
        </is>
      </c>
      <c r="F12" s="60" t="inlineStr">
        <is>
          <t>WP1</t>
        </is>
      </c>
      <c r="G12" s="60" t="inlineStr">
        <is>
          <t>Scenario analysis</t>
        </is>
      </c>
      <c r="H12" s="60" t="inlineStr">
        <is>
          <t>PWRNGACCF01</t>
        </is>
      </c>
      <c r="I12" s="60" t="inlineStr">
        <is>
          <t>Natural gas-fired combined cycle plant F class</t>
        </is>
      </c>
      <c r="J12" s="60" t="inlineStr">
        <is>
          <t>SG</t>
        </is>
      </c>
      <c r="K12" s="61" t="n">
        <v>2028</v>
      </c>
      <c r="L12" s="60" t="n">
        <v>2018</v>
      </c>
      <c r="M12" s="60" t="n">
        <v>25</v>
      </c>
      <c r="N12" s="60" t="inlineStr">
        <is>
          <t>-</t>
        </is>
      </c>
      <c r="O12" s="60" t="n">
        <v>56.1</v>
      </c>
      <c r="P12" s="60" t="inlineStr">
        <is>
          <t>PJ</t>
        </is>
      </c>
      <c r="Q12" s="60" t="inlineStr">
        <is>
          <t>MSGD2016</t>
        </is>
      </c>
      <c r="R12" s="60" t="n">
        <v>1572.783037997916</v>
      </c>
      <c r="S12" s="60" t="inlineStr">
        <is>
          <t>GW</t>
        </is>
      </c>
      <c r="T12" s="60" t="n">
        <v>51.87710205442573</v>
      </c>
      <c r="U12" s="60" t="inlineStr">
        <is>
          <t>GW*yr(2018)</t>
        </is>
      </c>
      <c r="V12" s="60" t="n">
        <v>1.927324310760297</v>
      </c>
      <c r="W12" s="60" t="inlineStr">
        <is>
          <t>PJ (2018)</t>
        </is>
      </c>
      <c r="X12" s="60" t="inlineStr">
        <is>
          <t>-</t>
        </is>
      </c>
      <c r="Y12" s="60" t="inlineStr">
        <is>
          <t>-</t>
        </is>
      </c>
      <c r="Z12" s="60" t="n">
        <v>0.4970006013707277</v>
      </c>
      <c r="AA12" s="60" t="inlineStr">
        <is>
          <t>-</t>
        </is>
      </c>
      <c r="AB12" s="60" t="n">
        <v>1</v>
      </c>
      <c r="AC12" s="60" t="inlineStr">
        <is>
          <t>PWRNGA</t>
        </is>
      </c>
      <c r="AD12" s="60" t="inlineStr">
        <is>
          <t>-</t>
        </is>
      </c>
      <c r="AE12" s="60" t="inlineStr">
        <is>
          <t>-</t>
        </is>
      </c>
      <c r="AF12" s="60" t="n">
        <v>0.8</v>
      </c>
      <c r="AG12" s="60" t="n">
        <v>2.01207</v>
      </c>
      <c r="AH12" s="61" t="n">
        <v>9070.4</v>
      </c>
      <c r="AI12" s="60" t="inlineStr">
        <is>
          <t>UP</t>
        </is>
      </c>
      <c r="AJ12" s="60" t="inlineStr">
        <is>
          <t>-</t>
        </is>
      </c>
      <c r="AK12" s="60" t="inlineStr">
        <is>
          <t>-</t>
        </is>
      </c>
      <c r="AL12" s="60" t="inlineStr">
        <is>
          <t>-</t>
        </is>
      </c>
    </row>
    <row r="13" customFormat="1" s="26">
      <c r="A13" s="60" t="inlineStr">
        <is>
          <t>Power</t>
        </is>
      </c>
      <c r="B13" s="60" t="inlineStr">
        <is>
          <t>ESI</t>
        </is>
      </c>
      <c r="C13" s="60" t="inlineStr">
        <is>
          <t>WP1</t>
        </is>
      </c>
      <c r="D13" s="60" t="inlineStr">
        <is>
          <t>GREF</t>
        </is>
      </c>
      <c r="E13" s="60" t="inlineStr">
        <is>
          <t>SG GREF v8.14; VT_SG_PWR_GREF</t>
        </is>
      </c>
      <c r="F13" s="60" t="inlineStr">
        <is>
          <t>WP1</t>
        </is>
      </c>
      <c r="G13" s="60" t="inlineStr">
        <is>
          <t>Scenario analysis</t>
        </is>
      </c>
      <c r="H13" s="60" t="inlineStr">
        <is>
          <t>PWRNGACCF01</t>
        </is>
      </c>
      <c r="I13" s="60" t="inlineStr">
        <is>
          <t>Natural gas-fired combined cycle plant F class</t>
        </is>
      </c>
      <c r="J13" s="60" t="inlineStr">
        <is>
          <t>SG</t>
        </is>
      </c>
      <c r="K13" s="61" t="n">
        <v>2032</v>
      </c>
      <c r="L13" s="60" t="n">
        <v>2018</v>
      </c>
      <c r="M13" s="60" t="n">
        <v>25</v>
      </c>
      <c r="N13" s="60" t="inlineStr">
        <is>
          <t>-</t>
        </is>
      </c>
      <c r="O13" s="60" t="n">
        <v>56.1</v>
      </c>
      <c r="P13" s="60" t="inlineStr">
        <is>
          <t>PJ</t>
        </is>
      </c>
      <c r="Q13" s="60" t="inlineStr">
        <is>
          <t>MSGD2016</t>
        </is>
      </c>
      <c r="R13" s="60" t="n">
        <v>1572.783037997916</v>
      </c>
      <c r="S13" s="60" t="inlineStr">
        <is>
          <t>GW</t>
        </is>
      </c>
      <c r="T13" s="60" t="n">
        <v>51.87710205442573</v>
      </c>
      <c r="U13" s="60" t="inlineStr">
        <is>
          <t>GW*yr(2018)</t>
        </is>
      </c>
      <c r="V13" s="60" t="n">
        <v>1.927324310760297</v>
      </c>
      <c r="W13" s="60" t="inlineStr">
        <is>
          <t>PJ (2018)</t>
        </is>
      </c>
      <c r="X13" s="60" t="inlineStr">
        <is>
          <t>-</t>
        </is>
      </c>
      <c r="Y13" s="60" t="inlineStr">
        <is>
          <t>-</t>
        </is>
      </c>
      <c r="Z13" s="60" t="n">
        <v>0.4970006013707277</v>
      </c>
      <c r="AA13" s="60" t="inlineStr">
        <is>
          <t>-</t>
        </is>
      </c>
      <c r="AB13" s="60" t="n">
        <v>1</v>
      </c>
      <c r="AC13" s="60" t="inlineStr">
        <is>
          <t>PWRNGA</t>
        </is>
      </c>
      <c r="AD13" s="60" t="inlineStr">
        <is>
          <t>-</t>
        </is>
      </c>
      <c r="AE13" s="60" t="inlineStr">
        <is>
          <t>-</t>
        </is>
      </c>
      <c r="AF13" s="60" t="n">
        <v>0.8</v>
      </c>
      <c r="AG13" s="60" t="n">
        <v>2.01207</v>
      </c>
      <c r="AH13" s="61" t="n">
        <v>6468.4</v>
      </c>
      <c r="AI13" s="60" t="inlineStr">
        <is>
          <t>UP</t>
        </is>
      </c>
      <c r="AJ13" s="60" t="inlineStr">
        <is>
          <t>-</t>
        </is>
      </c>
      <c r="AK13" s="60" t="inlineStr">
        <is>
          <t>-</t>
        </is>
      </c>
      <c r="AL13" s="60" t="inlineStr">
        <is>
          <t>-</t>
        </is>
      </c>
    </row>
    <row r="14" customFormat="1" s="26">
      <c r="A14" s="60" t="inlineStr">
        <is>
          <t>Power</t>
        </is>
      </c>
      <c r="B14" s="60" t="inlineStr">
        <is>
          <t>ESI</t>
        </is>
      </c>
      <c r="C14" s="60" t="inlineStr">
        <is>
          <t>WP1</t>
        </is>
      </c>
      <c r="D14" s="60" t="inlineStr">
        <is>
          <t>GREF</t>
        </is>
      </c>
      <c r="E14" s="60" t="inlineStr">
        <is>
          <t>SG GREF v8.14; VT_SG_PWR_GREF</t>
        </is>
      </c>
      <c r="F14" s="60" t="inlineStr">
        <is>
          <t>WP1</t>
        </is>
      </c>
      <c r="G14" s="60" t="inlineStr">
        <is>
          <t>Scenario analysis</t>
        </is>
      </c>
      <c r="H14" s="60" t="inlineStr">
        <is>
          <t>PWRNGACCF01</t>
        </is>
      </c>
      <c r="I14" s="60" t="inlineStr">
        <is>
          <t>Natural gas-fired combined cycle plant F class</t>
        </is>
      </c>
      <c r="J14" s="60" t="inlineStr">
        <is>
          <t>SG</t>
        </is>
      </c>
      <c r="K14" s="61" t="n">
        <v>2034</v>
      </c>
      <c r="L14" s="60" t="n">
        <v>2018</v>
      </c>
      <c r="M14" s="60" t="n">
        <v>25</v>
      </c>
      <c r="N14" s="60" t="inlineStr">
        <is>
          <t>-</t>
        </is>
      </c>
      <c r="O14" s="60" t="n">
        <v>56.1</v>
      </c>
      <c r="P14" s="60" t="inlineStr">
        <is>
          <t>PJ</t>
        </is>
      </c>
      <c r="Q14" s="60" t="inlineStr">
        <is>
          <t>MSGD2016</t>
        </is>
      </c>
      <c r="R14" s="60" t="n">
        <v>1572.783037997916</v>
      </c>
      <c r="S14" s="60" t="inlineStr">
        <is>
          <t>GW</t>
        </is>
      </c>
      <c r="T14" s="60" t="n">
        <v>51.87710205442573</v>
      </c>
      <c r="U14" s="60" t="inlineStr">
        <is>
          <t>GW*yr(2018)</t>
        </is>
      </c>
      <c r="V14" s="60" t="n">
        <v>1.927324310760297</v>
      </c>
      <c r="W14" s="60" t="inlineStr">
        <is>
          <t>PJ (2018)</t>
        </is>
      </c>
      <c r="X14" s="60" t="inlineStr">
        <is>
          <t>-</t>
        </is>
      </c>
      <c r="Y14" s="60" t="inlineStr">
        <is>
          <t>-</t>
        </is>
      </c>
      <c r="Z14" s="60" t="n">
        <v>0.4970006013707277</v>
      </c>
      <c r="AA14" s="60" t="inlineStr">
        <is>
          <t>-</t>
        </is>
      </c>
      <c r="AB14" s="60" t="n">
        <v>1</v>
      </c>
      <c r="AC14" s="60" t="inlineStr">
        <is>
          <t>PWRNGA</t>
        </is>
      </c>
      <c r="AD14" s="60" t="inlineStr">
        <is>
          <t>-</t>
        </is>
      </c>
      <c r="AE14" s="60" t="inlineStr">
        <is>
          <t>-</t>
        </is>
      </c>
      <c r="AF14" s="60" t="n">
        <v>0.8</v>
      </c>
      <c r="AG14" s="60" t="n">
        <v>2.01207</v>
      </c>
      <c r="AH14" s="61" t="n">
        <v>5738.4</v>
      </c>
      <c r="AI14" s="60" t="inlineStr">
        <is>
          <t>UP</t>
        </is>
      </c>
      <c r="AJ14" s="60" t="inlineStr">
        <is>
          <t>-</t>
        </is>
      </c>
      <c r="AK14" s="60" t="inlineStr">
        <is>
          <t>-</t>
        </is>
      </c>
      <c r="AL14" s="60" t="inlineStr">
        <is>
          <t>-</t>
        </is>
      </c>
    </row>
    <row r="15" customFormat="1" s="26">
      <c r="A15" s="60" t="inlineStr">
        <is>
          <t>Power</t>
        </is>
      </c>
      <c r="B15" s="60" t="inlineStr">
        <is>
          <t>ESI</t>
        </is>
      </c>
      <c r="C15" s="60" t="inlineStr">
        <is>
          <t>WP1</t>
        </is>
      </c>
      <c r="D15" s="60" t="inlineStr">
        <is>
          <t>GREF</t>
        </is>
      </c>
      <c r="E15" s="60" t="inlineStr">
        <is>
          <t>SG GREF v8.14; VT_SG_PWR_GREF</t>
        </is>
      </c>
      <c r="F15" s="60" t="inlineStr">
        <is>
          <t>WP1</t>
        </is>
      </c>
      <c r="G15" s="60" t="inlineStr">
        <is>
          <t>Scenario analysis</t>
        </is>
      </c>
      <c r="H15" s="60" t="inlineStr">
        <is>
          <t>PWRNGACCF01</t>
        </is>
      </c>
      <c r="I15" s="60" t="inlineStr">
        <is>
          <t>Natural gas-fired combined cycle plant F class</t>
        </is>
      </c>
      <c r="J15" s="60" t="inlineStr">
        <is>
          <t>SG</t>
        </is>
      </c>
      <c r="K15" s="61" t="n">
        <v>2036</v>
      </c>
      <c r="L15" s="60" t="n">
        <v>2018</v>
      </c>
      <c r="M15" s="60" t="n">
        <v>25</v>
      </c>
      <c r="N15" s="60" t="inlineStr">
        <is>
          <t>-</t>
        </is>
      </c>
      <c r="O15" s="60" t="n">
        <v>56.1</v>
      </c>
      <c r="P15" s="60" t="inlineStr">
        <is>
          <t>PJ</t>
        </is>
      </c>
      <c r="Q15" s="60" t="inlineStr">
        <is>
          <t>MSGD2016</t>
        </is>
      </c>
      <c r="R15" s="60" t="n">
        <v>1572.783037997916</v>
      </c>
      <c r="S15" s="60" t="inlineStr">
        <is>
          <t>GW</t>
        </is>
      </c>
      <c r="T15" s="60" t="n">
        <v>51.87710205442573</v>
      </c>
      <c r="U15" s="60" t="inlineStr">
        <is>
          <t>GW*yr(2018)</t>
        </is>
      </c>
      <c r="V15" s="60" t="n">
        <v>1.927324310760297</v>
      </c>
      <c r="W15" s="60" t="inlineStr">
        <is>
          <t>PJ (2018)</t>
        </is>
      </c>
      <c r="X15" s="60" t="inlineStr">
        <is>
          <t>-</t>
        </is>
      </c>
      <c r="Y15" s="60" t="inlineStr">
        <is>
          <t>-</t>
        </is>
      </c>
      <c r="Z15" s="60" t="n">
        <v>0.4970006013707277</v>
      </c>
      <c r="AA15" s="60" t="inlineStr">
        <is>
          <t>-</t>
        </is>
      </c>
      <c r="AB15" s="60" t="n">
        <v>1</v>
      </c>
      <c r="AC15" s="60" t="inlineStr">
        <is>
          <t>PWRNGA</t>
        </is>
      </c>
      <c r="AD15" s="60" t="inlineStr">
        <is>
          <t>-</t>
        </is>
      </c>
      <c r="AE15" s="60" t="inlineStr">
        <is>
          <t>-</t>
        </is>
      </c>
      <c r="AF15" s="60" t="n">
        <v>0.8</v>
      </c>
      <c r="AG15" s="60" t="n">
        <v>2.01207</v>
      </c>
      <c r="AH15" s="61" t="n">
        <v>5018.400000000001</v>
      </c>
      <c r="AI15" s="60" t="inlineStr">
        <is>
          <t>UP</t>
        </is>
      </c>
      <c r="AJ15" s="60" t="inlineStr">
        <is>
          <t>-</t>
        </is>
      </c>
      <c r="AK15" s="60" t="inlineStr">
        <is>
          <t>-</t>
        </is>
      </c>
      <c r="AL15" s="60" t="inlineStr">
        <is>
          <t>-</t>
        </is>
      </c>
    </row>
    <row r="16" customFormat="1" s="26">
      <c r="A16" s="60" t="inlineStr">
        <is>
          <t>Power</t>
        </is>
      </c>
      <c r="B16" s="60" t="inlineStr">
        <is>
          <t>ESI</t>
        </is>
      </c>
      <c r="C16" s="60" t="inlineStr">
        <is>
          <t>WP1</t>
        </is>
      </c>
      <c r="D16" s="60" t="inlineStr">
        <is>
          <t>GREF</t>
        </is>
      </c>
      <c r="E16" s="60" t="inlineStr">
        <is>
          <t>SG GREF v8.14; VT_SG_PWR_GREF</t>
        </is>
      </c>
      <c r="F16" s="60" t="inlineStr">
        <is>
          <t>WP1</t>
        </is>
      </c>
      <c r="G16" s="60" t="inlineStr">
        <is>
          <t>Scenario analysis</t>
        </is>
      </c>
      <c r="H16" s="60" t="inlineStr">
        <is>
          <t>PWRNGACCF01</t>
        </is>
      </c>
      <c r="I16" s="60" t="inlineStr">
        <is>
          <t>Natural gas-fired combined cycle plant F class</t>
        </is>
      </c>
      <c r="J16" s="60" t="inlineStr">
        <is>
          <t>SG</t>
        </is>
      </c>
      <c r="K16" s="61" t="n">
        <v>2038</v>
      </c>
      <c r="L16" s="60" t="n">
        <v>2018</v>
      </c>
      <c r="M16" s="60" t="n">
        <v>25</v>
      </c>
      <c r="N16" s="60" t="inlineStr">
        <is>
          <t>-</t>
        </is>
      </c>
      <c r="O16" s="60" t="n">
        <v>56.1</v>
      </c>
      <c r="P16" s="60" t="inlineStr">
        <is>
          <t>PJ</t>
        </is>
      </c>
      <c r="Q16" s="60" t="inlineStr">
        <is>
          <t>MSGD2016</t>
        </is>
      </c>
      <c r="R16" s="60" t="n">
        <v>1572.783037997916</v>
      </c>
      <c r="S16" s="60" t="inlineStr">
        <is>
          <t>GW</t>
        </is>
      </c>
      <c r="T16" s="60" t="n">
        <v>51.87710205442573</v>
      </c>
      <c r="U16" s="60" t="inlineStr">
        <is>
          <t>GW*yr(2018)</t>
        </is>
      </c>
      <c r="V16" s="60" t="n">
        <v>1.927324310760297</v>
      </c>
      <c r="W16" s="60" t="inlineStr">
        <is>
          <t>PJ (2018)</t>
        </is>
      </c>
      <c r="X16" s="60" t="inlineStr">
        <is>
          <t>-</t>
        </is>
      </c>
      <c r="Y16" s="60" t="inlineStr">
        <is>
          <t>-</t>
        </is>
      </c>
      <c r="Z16" s="60" t="n">
        <v>0.4970006013707277</v>
      </c>
      <c r="AA16" s="60" t="inlineStr">
        <is>
          <t>-</t>
        </is>
      </c>
      <c r="AB16" s="60" t="n">
        <v>1</v>
      </c>
      <c r="AC16" s="60" t="inlineStr">
        <is>
          <t>PWRNGA</t>
        </is>
      </c>
      <c r="AD16" s="60" t="inlineStr">
        <is>
          <t>-</t>
        </is>
      </c>
      <c r="AE16" s="60" t="inlineStr">
        <is>
          <t>-</t>
        </is>
      </c>
      <c r="AF16" s="60" t="n">
        <v>0.8</v>
      </c>
      <c r="AG16" s="60" t="n">
        <v>2.01207</v>
      </c>
      <c r="AH16" s="61" t="n">
        <v>4528.4</v>
      </c>
      <c r="AI16" s="60" t="inlineStr">
        <is>
          <t>UP</t>
        </is>
      </c>
      <c r="AJ16" s="60" t="inlineStr">
        <is>
          <t>-</t>
        </is>
      </c>
      <c r="AK16" s="60" t="inlineStr">
        <is>
          <t>-</t>
        </is>
      </c>
      <c r="AL16" s="60" t="inlineStr">
        <is>
          <t>-</t>
        </is>
      </c>
    </row>
    <row r="17" customFormat="1" s="26">
      <c r="A17" s="60" t="inlineStr">
        <is>
          <t>Power</t>
        </is>
      </c>
      <c r="B17" s="60" t="inlineStr">
        <is>
          <t>ESI</t>
        </is>
      </c>
      <c r="C17" s="60" t="inlineStr">
        <is>
          <t>WP1</t>
        </is>
      </c>
      <c r="D17" s="60" t="inlineStr">
        <is>
          <t>GREF</t>
        </is>
      </c>
      <c r="E17" s="60" t="inlineStr">
        <is>
          <t>SG GREF v8.14; VT_SG_PWR_GREF</t>
        </is>
      </c>
      <c r="F17" s="60" t="inlineStr">
        <is>
          <t>WP1</t>
        </is>
      </c>
      <c r="G17" s="60" t="inlineStr">
        <is>
          <t>Scenario analysis</t>
        </is>
      </c>
      <c r="H17" s="60" t="inlineStr">
        <is>
          <t>PWRNGACCF01</t>
        </is>
      </c>
      <c r="I17" s="60" t="inlineStr">
        <is>
          <t>Natural gas-fired combined cycle plant F class</t>
        </is>
      </c>
      <c r="J17" s="60" t="inlineStr">
        <is>
          <t>SG</t>
        </is>
      </c>
      <c r="K17" s="61" t="n">
        <v>2040</v>
      </c>
      <c r="L17" s="60" t="n">
        <v>2018</v>
      </c>
      <c r="M17" s="60" t="n">
        <v>25</v>
      </c>
      <c r="N17" s="60" t="inlineStr">
        <is>
          <t>-</t>
        </is>
      </c>
      <c r="O17" s="60" t="n">
        <v>56.1</v>
      </c>
      <c r="P17" s="60" t="inlineStr">
        <is>
          <t>PJ</t>
        </is>
      </c>
      <c r="Q17" s="60" t="inlineStr">
        <is>
          <t>MSGD2016</t>
        </is>
      </c>
      <c r="R17" s="60" t="n">
        <v>1572.783037997916</v>
      </c>
      <c r="S17" s="60" t="inlineStr">
        <is>
          <t>GW</t>
        </is>
      </c>
      <c r="T17" s="60" t="n">
        <v>51.87710205442573</v>
      </c>
      <c r="U17" s="60" t="inlineStr">
        <is>
          <t>GW*yr(2018)</t>
        </is>
      </c>
      <c r="V17" s="60" t="n">
        <v>1.927324310760297</v>
      </c>
      <c r="W17" s="60" t="inlineStr">
        <is>
          <t>PJ (2018)</t>
        </is>
      </c>
      <c r="X17" s="60" t="inlineStr">
        <is>
          <t>-</t>
        </is>
      </c>
      <c r="Y17" s="60" t="inlineStr">
        <is>
          <t>-</t>
        </is>
      </c>
      <c r="Z17" s="60" t="n">
        <v>0.4970006013707277</v>
      </c>
      <c r="AA17" s="60" t="inlineStr">
        <is>
          <t>-</t>
        </is>
      </c>
      <c r="AB17" s="60" t="n">
        <v>1</v>
      </c>
      <c r="AC17" s="60" t="inlineStr">
        <is>
          <t>PWRNGA</t>
        </is>
      </c>
      <c r="AD17" s="60" t="inlineStr">
        <is>
          <t>-</t>
        </is>
      </c>
      <c r="AE17" s="60" t="inlineStr">
        <is>
          <t>-</t>
        </is>
      </c>
      <c r="AF17" s="60" t="n">
        <v>0.8</v>
      </c>
      <c r="AG17" s="60" t="n">
        <v>2.01207</v>
      </c>
      <c r="AH17" s="61" t="n">
        <v>3788.4</v>
      </c>
      <c r="AI17" s="60" t="inlineStr">
        <is>
          <t>UP</t>
        </is>
      </c>
      <c r="AJ17" s="60" t="inlineStr">
        <is>
          <t>-</t>
        </is>
      </c>
      <c r="AK17" s="60" t="inlineStr">
        <is>
          <t>-</t>
        </is>
      </c>
      <c r="AL17" s="60" t="inlineStr">
        <is>
          <t>-</t>
        </is>
      </c>
    </row>
    <row r="18" customFormat="1" s="26">
      <c r="A18" s="60" t="inlineStr">
        <is>
          <t>Power</t>
        </is>
      </c>
      <c r="B18" s="60" t="inlineStr">
        <is>
          <t>ESI</t>
        </is>
      </c>
      <c r="C18" s="60" t="inlineStr">
        <is>
          <t>WP1</t>
        </is>
      </c>
      <c r="D18" s="60" t="inlineStr">
        <is>
          <t>GREF</t>
        </is>
      </c>
      <c r="E18" s="60" t="inlineStr">
        <is>
          <t>SG GREF v8.14; VT_SG_PWR_GREF</t>
        </is>
      </c>
      <c r="F18" s="60" t="inlineStr">
        <is>
          <t>WP1</t>
        </is>
      </c>
      <c r="G18" s="60" t="inlineStr">
        <is>
          <t>Scenario analysis</t>
        </is>
      </c>
      <c r="H18" s="60" t="inlineStr">
        <is>
          <t>PWRNGACCF01</t>
        </is>
      </c>
      <c r="I18" s="60" t="inlineStr">
        <is>
          <t>Natural gas-fired combined cycle plant F class</t>
        </is>
      </c>
      <c r="J18" s="60" t="inlineStr">
        <is>
          <t>SG</t>
        </is>
      </c>
      <c r="K18" s="61" t="n">
        <v>2042</v>
      </c>
      <c r="L18" s="60" t="n">
        <v>2018</v>
      </c>
      <c r="M18" s="60" t="n">
        <v>25</v>
      </c>
      <c r="N18" s="60" t="inlineStr">
        <is>
          <t>-</t>
        </is>
      </c>
      <c r="O18" s="60" t="n">
        <v>56.1</v>
      </c>
      <c r="P18" s="60" t="inlineStr">
        <is>
          <t>PJ</t>
        </is>
      </c>
      <c r="Q18" s="60" t="inlineStr">
        <is>
          <t>MSGD2016</t>
        </is>
      </c>
      <c r="R18" s="60" t="n">
        <v>1572.783037997916</v>
      </c>
      <c r="S18" s="60" t="inlineStr">
        <is>
          <t>GW</t>
        </is>
      </c>
      <c r="T18" s="60" t="n">
        <v>51.87710205442573</v>
      </c>
      <c r="U18" s="60" t="inlineStr">
        <is>
          <t>GW*yr(2018)</t>
        </is>
      </c>
      <c r="V18" s="60" t="n">
        <v>1.927324310760297</v>
      </c>
      <c r="W18" s="60" t="inlineStr">
        <is>
          <t>PJ (2018)</t>
        </is>
      </c>
      <c r="X18" s="60" t="inlineStr">
        <is>
          <t>-</t>
        </is>
      </c>
      <c r="Y18" s="60" t="inlineStr">
        <is>
          <t>-</t>
        </is>
      </c>
      <c r="Z18" s="60" t="n">
        <v>0.4970006013707277</v>
      </c>
      <c r="AA18" s="60" t="inlineStr">
        <is>
          <t>-</t>
        </is>
      </c>
      <c r="AB18" s="60" t="n">
        <v>1</v>
      </c>
      <c r="AC18" s="60" t="inlineStr">
        <is>
          <t>PWRNGA</t>
        </is>
      </c>
      <c r="AD18" s="60" t="inlineStr">
        <is>
          <t>-</t>
        </is>
      </c>
      <c r="AE18" s="60" t="inlineStr">
        <is>
          <t>-</t>
        </is>
      </c>
      <c r="AF18" s="60" t="n">
        <v>0.8</v>
      </c>
      <c r="AG18" s="60" t="n">
        <v>2.01207</v>
      </c>
      <c r="AH18" s="61" t="n">
        <v>2926.4</v>
      </c>
      <c r="AI18" s="60" t="inlineStr">
        <is>
          <t>UP</t>
        </is>
      </c>
      <c r="AJ18" s="60" t="inlineStr">
        <is>
          <t>-</t>
        </is>
      </c>
      <c r="AK18" s="60" t="inlineStr">
        <is>
          <t>-</t>
        </is>
      </c>
      <c r="AL18" s="60" t="inlineStr">
        <is>
          <t>-</t>
        </is>
      </c>
    </row>
    <row r="19" customFormat="1" s="26">
      <c r="A19" s="60" t="inlineStr">
        <is>
          <t>Power</t>
        </is>
      </c>
      <c r="B19" s="60" t="inlineStr">
        <is>
          <t>ESI</t>
        </is>
      </c>
      <c r="C19" s="60" t="inlineStr">
        <is>
          <t>WP1</t>
        </is>
      </c>
      <c r="D19" s="60" t="inlineStr">
        <is>
          <t>GREF</t>
        </is>
      </c>
      <c r="E19" s="60" t="inlineStr">
        <is>
          <t>SG GREF v8.14; VT_SG_PWR_GREF</t>
        </is>
      </c>
      <c r="F19" s="60" t="inlineStr">
        <is>
          <t>WP1</t>
        </is>
      </c>
      <c r="G19" s="60" t="inlineStr">
        <is>
          <t>Scenario analysis</t>
        </is>
      </c>
      <c r="H19" s="60" t="inlineStr">
        <is>
          <t>PWRNGACCF01</t>
        </is>
      </c>
      <c r="I19" s="60" t="inlineStr">
        <is>
          <t>Natural gas-fired combined cycle plant F class</t>
        </is>
      </c>
      <c r="J19" s="60" t="inlineStr">
        <is>
          <t>SG</t>
        </is>
      </c>
      <c r="K19" s="61" t="n">
        <v>2044</v>
      </c>
      <c r="L19" s="60" t="n">
        <v>2018</v>
      </c>
      <c r="M19" s="60" t="n">
        <v>25</v>
      </c>
      <c r="N19" s="60" t="inlineStr">
        <is>
          <t>-</t>
        </is>
      </c>
      <c r="O19" s="60" t="n">
        <v>56.1</v>
      </c>
      <c r="P19" s="60" t="inlineStr">
        <is>
          <t>PJ</t>
        </is>
      </c>
      <c r="Q19" s="60" t="inlineStr">
        <is>
          <t>MSGD2016</t>
        </is>
      </c>
      <c r="R19" s="60" t="n">
        <v>1572.783037997916</v>
      </c>
      <c r="S19" s="60" t="inlineStr">
        <is>
          <t>GW</t>
        </is>
      </c>
      <c r="T19" s="60" t="n">
        <v>51.87710205442573</v>
      </c>
      <c r="U19" s="60" t="inlineStr">
        <is>
          <t>GW*yr(2018)</t>
        </is>
      </c>
      <c r="V19" s="60" t="n">
        <v>1.927324310760297</v>
      </c>
      <c r="W19" s="60" t="inlineStr">
        <is>
          <t>PJ (2018)</t>
        </is>
      </c>
      <c r="X19" s="60" t="inlineStr">
        <is>
          <t>-</t>
        </is>
      </c>
      <c r="Y19" s="60" t="inlineStr">
        <is>
          <t>-</t>
        </is>
      </c>
      <c r="Z19" s="60" t="n">
        <v>0.4970006013707277</v>
      </c>
      <c r="AA19" s="60" t="inlineStr">
        <is>
          <t>-</t>
        </is>
      </c>
      <c r="AB19" s="60" t="n">
        <v>1</v>
      </c>
      <c r="AC19" s="60" t="inlineStr">
        <is>
          <t>PWRNGA</t>
        </is>
      </c>
      <c r="AD19" s="60" t="inlineStr">
        <is>
          <t>-</t>
        </is>
      </c>
      <c r="AE19" s="60" t="inlineStr">
        <is>
          <t>-</t>
        </is>
      </c>
      <c r="AF19" s="60" t="n">
        <v>0.8</v>
      </c>
      <c r="AG19" s="60" t="n">
        <v>2.01207</v>
      </c>
      <c r="AH19" s="61" t="n">
        <v>777</v>
      </c>
      <c r="AI19" s="60" t="inlineStr">
        <is>
          <t>UP</t>
        </is>
      </c>
      <c r="AJ19" s="60" t="inlineStr">
        <is>
          <t>-</t>
        </is>
      </c>
      <c r="AK19" s="60" t="inlineStr">
        <is>
          <t>-</t>
        </is>
      </c>
      <c r="AL19" s="60" t="inlineStr">
        <is>
          <t>-</t>
        </is>
      </c>
    </row>
    <row r="20">
      <c r="A20" s="60" t="inlineStr">
        <is>
          <t>Power</t>
        </is>
      </c>
      <c r="B20" s="60" t="inlineStr">
        <is>
          <t>ESI</t>
        </is>
      </c>
      <c r="C20" s="60" t="inlineStr">
        <is>
          <t>WP1</t>
        </is>
      </c>
      <c r="D20" s="60" t="inlineStr">
        <is>
          <t>GREF</t>
        </is>
      </c>
      <c r="E20" s="60" t="inlineStr">
        <is>
          <t>SG GREF v8.14; VT_SG_PWR_GREF</t>
        </is>
      </c>
      <c r="F20" s="60" t="inlineStr">
        <is>
          <t>WP1</t>
        </is>
      </c>
      <c r="G20" s="60" t="inlineStr">
        <is>
          <t>Scenario analysis</t>
        </is>
      </c>
      <c r="H20" s="60" t="inlineStr">
        <is>
          <t>PWRNGACCF00</t>
        </is>
      </c>
      <c r="I20" s="60" t="inlineStr">
        <is>
          <t>Natural gas-fired combined cycle plant (OCGT)</t>
        </is>
      </c>
      <c r="J20" s="60" t="inlineStr">
        <is>
          <t>SG</t>
        </is>
      </c>
      <c r="K20" s="60" t="n">
        <v>2018</v>
      </c>
      <c r="L20" s="60" t="n">
        <v>2018</v>
      </c>
      <c r="M20" s="60" t="n">
        <v>25</v>
      </c>
      <c r="N20" s="60" t="inlineStr">
        <is>
          <t>-</t>
        </is>
      </c>
      <c r="O20" s="60" t="n">
        <v>56.1</v>
      </c>
      <c r="P20" s="60" t="inlineStr">
        <is>
          <t>PJ</t>
        </is>
      </c>
      <c r="Q20" s="60" t="inlineStr">
        <is>
          <t>MSGD2016</t>
        </is>
      </c>
      <c r="R20" s="60" t="n">
        <v>1611.364094499628</v>
      </c>
      <c r="S20" s="60" t="inlineStr">
        <is>
          <t>GW</t>
        </is>
      </c>
      <c r="T20" s="60" t="n">
        <v>51</v>
      </c>
      <c r="U20" s="60" t="inlineStr">
        <is>
          <t>GW*yr(2018)</t>
        </is>
      </c>
      <c r="V20" s="60" t="n">
        <v>1.95</v>
      </c>
      <c r="W20" s="60" t="inlineStr">
        <is>
          <t>PJ (2018)</t>
        </is>
      </c>
      <c r="X20" s="60" t="inlineStr">
        <is>
          <t>-</t>
        </is>
      </c>
      <c r="Y20" s="60" t="inlineStr">
        <is>
          <t>-</t>
        </is>
      </c>
      <c r="Z20" s="60" t="n">
        <v>0.4167013917826486</v>
      </c>
      <c r="AA20" s="60" t="inlineStr">
        <is>
          <t>-</t>
        </is>
      </c>
      <c r="AB20" s="60" t="n">
        <v>1</v>
      </c>
      <c r="AC20" s="60" t="inlineStr">
        <is>
          <t>PWRNGA</t>
        </is>
      </c>
      <c r="AD20" s="60" t="inlineStr">
        <is>
          <t>-</t>
        </is>
      </c>
      <c r="AE20" s="60" t="inlineStr">
        <is>
          <t>-</t>
        </is>
      </c>
      <c r="AF20" s="60" t="n">
        <v>0.8</v>
      </c>
      <c r="AG20" s="60" t="n">
        <v>2.3998</v>
      </c>
      <c r="AH20" s="60" t="n">
        <v>180</v>
      </c>
      <c r="AI20" s="60" t="inlineStr">
        <is>
          <t>FX</t>
        </is>
      </c>
      <c r="AJ20" s="60" t="inlineStr">
        <is>
          <t>-</t>
        </is>
      </c>
      <c r="AK20" s="60" t="inlineStr">
        <is>
          <t>-</t>
        </is>
      </c>
      <c r="AL20" s="60" t="inlineStr">
        <is>
          <t>-</t>
        </is>
      </c>
    </row>
    <row r="21">
      <c r="A21" s="60" t="inlineStr">
        <is>
          <t>Power</t>
        </is>
      </c>
      <c r="B21" s="60" t="inlineStr">
        <is>
          <t>ESI</t>
        </is>
      </c>
      <c r="C21" s="60" t="inlineStr">
        <is>
          <t>WP1</t>
        </is>
      </c>
      <c r="D21" s="60" t="inlineStr">
        <is>
          <t>GREF</t>
        </is>
      </c>
      <c r="E21" s="60" t="inlineStr">
        <is>
          <t>SG GREF v8.14; VT_SG_PWR_GREF</t>
        </is>
      </c>
      <c r="F21" s="60" t="inlineStr">
        <is>
          <t>WP1</t>
        </is>
      </c>
      <c r="G21" s="60" t="inlineStr">
        <is>
          <t>Scenario analysis</t>
        </is>
      </c>
      <c r="H21" s="60" t="inlineStr">
        <is>
          <t>PWRBMCSTP00</t>
        </is>
      </c>
      <c r="I21" s="60" t="inlineStr">
        <is>
          <t>Biomass and coal co-fired steam turbine plant - 20%Biomass</t>
        </is>
      </c>
      <c r="J21" s="60" t="inlineStr">
        <is>
          <t>SG</t>
        </is>
      </c>
      <c r="K21" s="60" t="n">
        <v>2018</v>
      </c>
      <c r="L21" s="60" t="n">
        <v>2018</v>
      </c>
      <c r="M21" s="60" t="n">
        <v>25</v>
      </c>
      <c r="N21" s="60" t="inlineStr">
        <is>
          <t>-</t>
        </is>
      </c>
      <c r="O21" s="60" t="n">
        <v>0</v>
      </c>
      <c r="P21" s="60" t="inlineStr">
        <is>
          <t>PJ</t>
        </is>
      </c>
      <c r="Q21" s="60" t="inlineStr">
        <is>
          <t>MSGD2016</t>
        </is>
      </c>
      <c r="R21" s="60" t="n">
        <v>4915.715341363108</v>
      </c>
      <c r="S21" s="60" t="inlineStr">
        <is>
          <t>GW</t>
        </is>
      </c>
      <c r="T21" s="60" t="n">
        <v>135.2751524390243</v>
      </c>
      <c r="U21" s="60" t="inlineStr">
        <is>
          <t>GW*yr(2018)</t>
        </is>
      </c>
      <c r="V21" s="60" t="n">
        <v>1.502777777777778</v>
      </c>
      <c r="W21" s="60" t="inlineStr">
        <is>
          <t>PJ (2018)</t>
        </is>
      </c>
      <c r="X21" s="60" t="inlineStr">
        <is>
          <t>-</t>
        </is>
      </c>
      <c r="Y21" s="60" t="inlineStr">
        <is>
          <t>-</t>
        </is>
      </c>
      <c r="Z21" s="60" t="n">
        <v>0.3500052500787512</v>
      </c>
      <c r="AA21" s="60" t="inlineStr">
        <is>
          <t>-</t>
        </is>
      </c>
      <c r="AB21" s="60" t="inlineStr">
        <is>
          <t>20%+80%</t>
        </is>
      </c>
      <c r="AC21" s="60" t="inlineStr">
        <is>
          <t>PWRBMS+PWACOA</t>
        </is>
      </c>
      <c r="AD21" s="60" t="inlineStr">
        <is>
          <t>-</t>
        </is>
      </c>
      <c r="AE21" s="60" t="n">
        <v>5</v>
      </c>
      <c r="AF21" s="60" t="n">
        <v>0.8</v>
      </c>
      <c r="AG21" s="60" t="n">
        <v>2.8571</v>
      </c>
      <c r="AH21" s="60" t="n">
        <v>133.5</v>
      </c>
      <c r="AI21" s="60" t="inlineStr">
        <is>
          <t>FX</t>
        </is>
      </c>
      <c r="AJ21" s="60" t="inlineStr">
        <is>
          <t>-</t>
        </is>
      </c>
      <c r="AK21" s="60" t="inlineStr">
        <is>
          <t>-</t>
        </is>
      </c>
      <c r="AL21" s="60" t="inlineStr">
        <is>
          <t>-</t>
        </is>
      </c>
    </row>
    <row r="22" customFormat="1" s="26">
      <c r="A22" s="60" t="inlineStr">
        <is>
          <t>Power</t>
        </is>
      </c>
      <c r="B22" s="60" t="inlineStr">
        <is>
          <t>ESI</t>
        </is>
      </c>
      <c r="C22" s="60" t="inlineStr">
        <is>
          <t>WP1</t>
        </is>
      </c>
      <c r="D22" s="60" t="inlineStr">
        <is>
          <t>GREF</t>
        </is>
      </c>
      <c r="E22" s="60" t="inlineStr">
        <is>
          <t>SG GREF v8.14; VT_SG_PWR_GREF</t>
        </is>
      </c>
      <c r="F22" s="60" t="inlineStr">
        <is>
          <t>WP1</t>
        </is>
      </c>
      <c r="G22" s="60" t="inlineStr">
        <is>
          <t>Scenario analysis</t>
        </is>
      </c>
      <c r="H22" s="60" t="inlineStr">
        <is>
          <t>PWRWASWTE00</t>
        </is>
      </c>
      <c r="I22" s="60" t="inlineStr">
        <is>
          <t>Incineration Plant</t>
        </is>
      </c>
      <c r="J22" s="60" t="inlineStr">
        <is>
          <t>SG</t>
        </is>
      </c>
      <c r="K22" s="61" t="n">
        <v>2018</v>
      </c>
      <c r="L22" s="60" t="n">
        <v>2018</v>
      </c>
      <c r="M22" s="60" t="n">
        <v>25</v>
      </c>
      <c r="N22" s="60" t="inlineStr">
        <is>
          <t>-</t>
        </is>
      </c>
      <c r="O22" s="60" t="n">
        <v>50</v>
      </c>
      <c r="P22" s="60" t="inlineStr">
        <is>
          <t>PJ</t>
        </is>
      </c>
      <c r="Q22" s="60" t="inlineStr">
        <is>
          <t>MSGD2016</t>
        </is>
      </c>
      <c r="R22" s="60" t="n">
        <v>12386.54359339563</v>
      </c>
      <c r="S22" s="60" t="inlineStr">
        <is>
          <t>GW</t>
        </is>
      </c>
      <c r="T22" s="60" t="n">
        <v>359</v>
      </c>
      <c r="U22" s="60" t="inlineStr">
        <is>
          <t>GW*yr(2018)</t>
        </is>
      </c>
      <c r="V22" s="60" t="n">
        <v>3.111111111111111</v>
      </c>
      <c r="W22" s="60" t="inlineStr">
        <is>
          <t>PJ (2018)</t>
        </is>
      </c>
      <c r="X22" s="60" t="inlineStr">
        <is>
          <t>-</t>
        </is>
      </c>
      <c r="Y22" s="60" t="inlineStr">
        <is>
          <t>-</t>
        </is>
      </c>
      <c r="Z22" s="60" t="n">
        <v>0.1639989504067174</v>
      </c>
      <c r="AA22" s="60" t="inlineStr">
        <is>
          <t>-</t>
        </is>
      </c>
      <c r="AB22" s="60" t="n">
        <v>1</v>
      </c>
      <c r="AC22" s="60" t="inlineStr">
        <is>
          <t>-</t>
        </is>
      </c>
      <c r="AD22" s="60" t="inlineStr">
        <is>
          <t>-</t>
        </is>
      </c>
      <c r="AE22" s="60" t="inlineStr">
        <is>
          <t>-</t>
        </is>
      </c>
      <c r="AF22" s="60" t="n">
        <v>0.8</v>
      </c>
      <c r="AG22" s="60" t="n">
        <v>6.0976</v>
      </c>
      <c r="AH22" s="61" t="n">
        <v>180</v>
      </c>
      <c r="AI22" s="60" t="inlineStr">
        <is>
          <t>UP</t>
        </is>
      </c>
      <c r="AJ22" s="60" t="inlineStr">
        <is>
          <t>-</t>
        </is>
      </c>
      <c r="AK22" s="60" t="inlineStr">
        <is>
          <t>-</t>
        </is>
      </c>
      <c r="AL22" s="60" t="inlineStr">
        <is>
          <t>-</t>
        </is>
      </c>
    </row>
    <row r="23" customFormat="1" s="26">
      <c r="A23" s="60" t="inlineStr">
        <is>
          <t>Power</t>
        </is>
      </c>
      <c r="B23" s="60" t="inlineStr">
        <is>
          <t>ESI</t>
        </is>
      </c>
      <c r="C23" s="60" t="inlineStr">
        <is>
          <t>WP1</t>
        </is>
      </c>
      <c r="D23" s="60" t="inlineStr">
        <is>
          <t>GREF</t>
        </is>
      </c>
      <c r="E23" s="60" t="inlineStr">
        <is>
          <t>SG GREF v8.14; VT_SG_PWR_GREF</t>
        </is>
      </c>
      <c r="F23" s="60" t="inlineStr">
        <is>
          <t>WP1</t>
        </is>
      </c>
      <c r="G23" s="60" t="inlineStr">
        <is>
          <t>Scenario analysis</t>
        </is>
      </c>
      <c r="H23" s="60" t="inlineStr">
        <is>
          <t>PWRWASWTE00</t>
        </is>
      </c>
      <c r="I23" s="60" t="inlineStr">
        <is>
          <t>Incineration Plant</t>
        </is>
      </c>
      <c r="J23" s="60" t="inlineStr">
        <is>
          <t>SG</t>
        </is>
      </c>
      <c r="K23" s="61" t="n">
        <v>2022</v>
      </c>
      <c r="L23" s="60" t="n">
        <v>2018</v>
      </c>
      <c r="M23" s="60" t="n">
        <v>25</v>
      </c>
      <c r="N23" s="60" t="inlineStr">
        <is>
          <t>-</t>
        </is>
      </c>
      <c r="O23" s="60" t="n">
        <v>50</v>
      </c>
      <c r="P23" s="60" t="inlineStr">
        <is>
          <t>PJ</t>
        </is>
      </c>
      <c r="Q23" s="60" t="inlineStr">
        <is>
          <t>MSGD2016</t>
        </is>
      </c>
      <c r="R23" s="60" t="n">
        <v>12386.54359339563</v>
      </c>
      <c r="S23" s="60" t="inlineStr">
        <is>
          <t>GW</t>
        </is>
      </c>
      <c r="T23" s="60" t="n">
        <v>359</v>
      </c>
      <c r="U23" s="60" t="inlineStr">
        <is>
          <t>GW*yr(2018)</t>
        </is>
      </c>
      <c r="V23" s="60" t="n">
        <v>3.111111111111111</v>
      </c>
      <c r="W23" s="60" t="inlineStr">
        <is>
          <t>PJ (2018)</t>
        </is>
      </c>
      <c r="X23" s="60" t="inlineStr">
        <is>
          <t>-</t>
        </is>
      </c>
      <c r="Y23" s="60" t="inlineStr">
        <is>
          <t>-</t>
        </is>
      </c>
      <c r="Z23" s="60" t="n">
        <v>0.1639989504067174</v>
      </c>
      <c r="AA23" s="60" t="inlineStr">
        <is>
          <t>-</t>
        </is>
      </c>
      <c r="AB23" s="60" t="n">
        <v>1</v>
      </c>
      <c r="AC23" s="60" t="inlineStr">
        <is>
          <t>-</t>
        </is>
      </c>
      <c r="AD23" s="60" t="inlineStr">
        <is>
          <t>-</t>
        </is>
      </c>
      <c r="AE23" s="60" t="inlineStr">
        <is>
          <t>-</t>
        </is>
      </c>
      <c r="AF23" s="60" t="n">
        <v>0.8</v>
      </c>
      <c r="AG23" s="60" t="n">
        <v>6.0976</v>
      </c>
      <c r="AH23" s="61" t="n">
        <v>132</v>
      </c>
      <c r="AI23" s="60" t="inlineStr">
        <is>
          <t>UP</t>
        </is>
      </c>
      <c r="AJ23" s="60" t="inlineStr">
        <is>
          <t>-</t>
        </is>
      </c>
      <c r="AK23" s="60" t="inlineStr">
        <is>
          <t>-</t>
        </is>
      </c>
      <c r="AL23" s="60" t="inlineStr">
        <is>
          <t>-</t>
        </is>
      </c>
    </row>
    <row r="24">
      <c r="A24" s="60" t="inlineStr">
        <is>
          <t>Power</t>
        </is>
      </c>
      <c r="B24" s="60" t="inlineStr">
        <is>
          <t>ESI</t>
        </is>
      </c>
      <c r="C24" s="60" t="inlineStr">
        <is>
          <t>WP1</t>
        </is>
      </c>
      <c r="D24" s="60" t="inlineStr">
        <is>
          <t>GREF</t>
        </is>
      </c>
      <c r="E24" s="60" t="inlineStr">
        <is>
          <t>SG GREF v8.14; VT_SG_PWR_GREF</t>
        </is>
      </c>
      <c r="F24" s="60" t="inlineStr">
        <is>
          <t>WP1</t>
        </is>
      </c>
      <c r="G24" s="60" t="inlineStr">
        <is>
          <t>Scenario analysis</t>
        </is>
      </c>
      <c r="H24" s="60" t="inlineStr">
        <is>
          <t>PWRNGACCF26</t>
        </is>
      </c>
      <c r="I24" s="60" t="inlineStr">
        <is>
          <t>Natural gas-fired combined cycle plant (OCGT) built from 2026</t>
        </is>
      </c>
      <c r="J24" s="60" t="inlineStr">
        <is>
          <t>SG</t>
        </is>
      </c>
      <c r="K24" s="60" t="n">
        <v>2018</v>
      </c>
      <c r="L24" s="60" t="n">
        <v>2018</v>
      </c>
      <c r="M24" s="60" t="n">
        <v>25</v>
      </c>
      <c r="N24" s="60" t="inlineStr">
        <is>
          <t>-</t>
        </is>
      </c>
      <c r="O24" s="60" t="n">
        <v>56.1</v>
      </c>
      <c r="P24" s="60" t="inlineStr">
        <is>
          <t>PJ</t>
        </is>
      </c>
      <c r="Q24" s="60" t="inlineStr">
        <is>
          <t>MSGD2016</t>
        </is>
      </c>
      <c r="R24" s="60" t="n">
        <v>670</v>
      </c>
      <c r="S24" s="60" t="inlineStr">
        <is>
          <t>GW</t>
        </is>
      </c>
      <c r="T24" s="60" t="n">
        <v>27</v>
      </c>
      <c r="U24" s="60" t="inlineStr">
        <is>
          <t>GW*yr(2018)</t>
        </is>
      </c>
      <c r="V24" s="60" t="n">
        <v>1.0696</v>
      </c>
      <c r="W24" s="60" t="inlineStr">
        <is>
          <t>PJ (2018)</t>
        </is>
      </c>
      <c r="X24" s="60" t="inlineStr">
        <is>
          <t>-</t>
        </is>
      </c>
      <c r="Y24" s="60" t="inlineStr">
        <is>
          <t>-</t>
        </is>
      </c>
      <c r="Z24" s="60" t="n">
        <v>0.4</v>
      </c>
      <c r="AA24" s="60" t="inlineStr">
        <is>
          <t>-</t>
        </is>
      </c>
      <c r="AB24" s="60" t="n">
        <v>1</v>
      </c>
      <c r="AC24" s="60" t="inlineStr">
        <is>
          <t>PWRNGA</t>
        </is>
      </c>
      <c r="AD24" s="60" t="inlineStr">
        <is>
          <t>-</t>
        </is>
      </c>
      <c r="AE24" s="60" t="inlineStr">
        <is>
          <t>-</t>
        </is>
      </c>
      <c r="AF24" s="60" t="n">
        <v>0.8</v>
      </c>
      <c r="AG24" s="60" t="n">
        <v>2.5</v>
      </c>
      <c r="AH24" s="60" t="n">
        <v>500</v>
      </c>
      <c r="AI24" s="60" t="inlineStr">
        <is>
          <t>FX</t>
        </is>
      </c>
      <c r="AJ24" s="60" t="inlineStr">
        <is>
          <t>-</t>
        </is>
      </c>
      <c r="AK24" s="60" t="inlineStr">
        <is>
          <t>-</t>
        </is>
      </c>
      <c r="AL24" s="60" t="inlineStr">
        <is>
          <t>-</t>
        </is>
      </c>
    </row>
    <row r="25">
      <c r="A25" s="60" t="inlineStr">
        <is>
          <t>Power</t>
        </is>
      </c>
      <c r="B25" s="60" t="inlineStr">
        <is>
          <t>ESI</t>
        </is>
      </c>
      <c r="C25" s="60" t="inlineStr">
        <is>
          <t>WP1</t>
        </is>
      </c>
      <c r="D25" s="60" t="inlineStr">
        <is>
          <t>GREF</t>
        </is>
      </c>
      <c r="E25" s="60" t="inlineStr">
        <is>
          <t>SG GREF v8.14; VT_SG_PWR_GREF</t>
        </is>
      </c>
      <c r="F25" s="60" t="inlineStr">
        <is>
          <t>WP1</t>
        </is>
      </c>
      <c r="G25" s="60" t="inlineStr">
        <is>
          <t>Scenario analysis</t>
        </is>
      </c>
      <c r="H25" s="60" t="inlineStr">
        <is>
          <t>PWRNGACCH11</t>
        </is>
      </c>
      <c r="I25" s="60" t="inlineStr">
        <is>
          <t>Natural gas-fired combined cycle plant H class (retrofitting)</t>
        </is>
      </c>
      <c r="J25" s="60" t="inlineStr">
        <is>
          <t>SG</t>
        </is>
      </c>
      <c r="K25" s="60" t="n">
        <v>2018</v>
      </c>
      <c r="L25" s="60" t="n">
        <v>2018</v>
      </c>
      <c r="M25" s="60" t="n">
        <v>20</v>
      </c>
      <c r="N25" s="60" t="inlineStr">
        <is>
          <t>-</t>
        </is>
      </c>
      <c r="O25" s="60" t="n">
        <v>56.1</v>
      </c>
      <c r="P25" s="60" t="inlineStr">
        <is>
          <t>PJ</t>
        </is>
      </c>
      <c r="Q25" s="60" t="inlineStr">
        <is>
          <t>MSGD2016</t>
        </is>
      </c>
      <c r="R25" s="60" t="n">
        <v>1770.360255315919</v>
      </c>
      <c r="S25" s="60" t="inlineStr">
        <is>
          <t>GW</t>
        </is>
      </c>
      <c r="T25" s="60" t="n">
        <v>62.72000000000001</v>
      </c>
      <c r="U25" s="60" t="inlineStr">
        <is>
          <t>GW*yr(2018)</t>
        </is>
      </c>
      <c r="V25" s="60" t="n">
        <v>1.95</v>
      </c>
      <c r="W25" s="60" t="inlineStr">
        <is>
          <t>PJ (2018)</t>
        </is>
      </c>
      <c r="X25" s="60" t="inlineStr">
        <is>
          <t>-</t>
        </is>
      </c>
      <c r="Y25" s="60" t="inlineStr">
        <is>
          <t>-</t>
        </is>
      </c>
      <c r="Z25" s="60" t="n">
        <v>0.5688929343497554</v>
      </c>
      <c r="AA25" s="60" t="inlineStr">
        <is>
          <t>-</t>
        </is>
      </c>
      <c r="AB25" s="60" t="n">
        <v>1</v>
      </c>
      <c r="AC25" s="60" t="inlineStr">
        <is>
          <t>PWRRTFNGA</t>
        </is>
      </c>
      <c r="AD25" s="60" t="inlineStr">
        <is>
          <t>-</t>
        </is>
      </c>
      <c r="AE25" s="60" t="inlineStr">
        <is>
          <t>-</t>
        </is>
      </c>
      <c r="AF25" s="60" t="n">
        <v>0.8</v>
      </c>
      <c r="AG25" s="60" t="n">
        <v>1.7578</v>
      </c>
      <c r="AH25" s="60" t="inlineStr">
        <is>
          <t>-</t>
        </is>
      </c>
      <c r="AI25" s="60" t="inlineStr">
        <is>
          <t>-</t>
        </is>
      </c>
      <c r="AJ25" s="60" t="inlineStr">
        <is>
          <t>-</t>
        </is>
      </c>
      <c r="AK25" s="60" t="inlineStr">
        <is>
          <t>-</t>
        </is>
      </c>
      <c r="AL25" s="60" t="inlineStr">
        <is>
          <t>-</t>
        </is>
      </c>
    </row>
    <row r="26">
      <c r="A26" s="60" t="inlineStr">
        <is>
          <t>Power</t>
        </is>
      </c>
      <c r="B26" s="60" t="inlineStr">
        <is>
          <t>ESI</t>
        </is>
      </c>
      <c r="C26" s="60" t="inlineStr">
        <is>
          <t>WP1</t>
        </is>
      </c>
      <c r="D26" s="60" t="inlineStr">
        <is>
          <t>GREF</t>
        </is>
      </c>
      <c r="E26" s="60" t="inlineStr">
        <is>
          <t>SG GREF v8.14; VT_SG_PWR_GREF</t>
        </is>
      </c>
      <c r="F26" s="60" t="inlineStr">
        <is>
          <t>WP1</t>
        </is>
      </c>
      <c r="G26" s="62" t="inlineStr">
        <is>
          <t>Scenario analysis</t>
        </is>
      </c>
      <c r="H26" s="60" t="inlineStr">
        <is>
          <t>PWRSOLLPV00</t>
        </is>
      </c>
      <c r="I26" s="60" t="inlineStr">
        <is>
          <t>Land Solar Plant (MWac)</t>
        </is>
      </c>
      <c r="J26" s="60" t="inlineStr">
        <is>
          <t>SG</t>
        </is>
      </c>
      <c r="K26" s="61" t="n">
        <v>2018</v>
      </c>
      <c r="L26" s="60" t="n">
        <v>2018</v>
      </c>
      <c r="M26" s="60" t="n">
        <v>25</v>
      </c>
      <c r="N26" s="60" t="inlineStr">
        <is>
          <t>-</t>
        </is>
      </c>
      <c r="O26" s="60" t="n">
        <v>0</v>
      </c>
      <c r="P26" s="60" t="inlineStr">
        <is>
          <t>PJ</t>
        </is>
      </c>
      <c r="Q26" s="60" t="inlineStr">
        <is>
          <t>MSGD2016</t>
        </is>
      </c>
      <c r="R26" s="61" t="n">
        <v>2902.597402597402</v>
      </c>
      <c r="S26" s="60" t="inlineStr">
        <is>
          <t>GW</t>
        </is>
      </c>
      <c r="T26" s="61" t="n">
        <v>25.80519480519481</v>
      </c>
      <c r="U26" s="60" t="inlineStr">
        <is>
          <t>GW*yr(2018)</t>
        </is>
      </c>
      <c r="V26" s="60" t="inlineStr">
        <is>
          <t>-</t>
        </is>
      </c>
      <c r="W26" s="60" t="inlineStr">
        <is>
          <t>PJ (2018)</t>
        </is>
      </c>
      <c r="X26" s="60" t="inlineStr">
        <is>
          <t>-</t>
        </is>
      </c>
      <c r="Y26" s="60" t="inlineStr">
        <is>
          <t>-</t>
        </is>
      </c>
      <c r="Z26" s="60" t="n">
        <v>1</v>
      </c>
      <c r="AA26" s="60" t="inlineStr">
        <is>
          <t>-</t>
        </is>
      </c>
      <c r="AB26" s="60" t="inlineStr">
        <is>
          <t>-</t>
        </is>
      </c>
      <c r="AC26" s="60" t="inlineStr">
        <is>
          <t>-</t>
        </is>
      </c>
      <c r="AD26" s="60" t="inlineStr">
        <is>
          <t>-</t>
        </is>
      </c>
      <c r="AE26" s="60" t="inlineStr">
        <is>
          <t>-</t>
        </is>
      </c>
      <c r="AF26" s="60" t="n">
        <v>0.1</v>
      </c>
      <c r="AG26" s="60" t="inlineStr">
        <is>
          <t>-</t>
        </is>
      </c>
      <c r="AH26" s="60" t="inlineStr">
        <is>
          <t>-</t>
        </is>
      </c>
      <c r="AI26" s="60" t="inlineStr">
        <is>
          <t>UP</t>
        </is>
      </c>
      <c r="AJ26" s="60" t="inlineStr">
        <is>
          <t>-</t>
        </is>
      </c>
      <c r="AK26" s="61" t="n">
        <v>0.0290451024544057</v>
      </c>
      <c r="AL26" s="60" t="inlineStr">
        <is>
          <t>-</t>
        </is>
      </c>
    </row>
    <row r="27">
      <c r="A27" s="60" t="inlineStr">
        <is>
          <t>Power</t>
        </is>
      </c>
      <c r="B27" s="60" t="inlineStr">
        <is>
          <t>ESI</t>
        </is>
      </c>
      <c r="C27" s="60" t="inlineStr">
        <is>
          <t>WP1</t>
        </is>
      </c>
      <c r="D27" s="60" t="inlineStr">
        <is>
          <t>GREF</t>
        </is>
      </c>
      <c r="E27" s="60" t="inlineStr">
        <is>
          <t>SG GREF v8.14; VT_SG_PWR_GREF</t>
        </is>
      </c>
      <c r="F27" s="60" t="inlineStr">
        <is>
          <t>WP1</t>
        </is>
      </c>
      <c r="G27" s="62" t="inlineStr">
        <is>
          <t>Scenario analysis</t>
        </is>
      </c>
      <c r="H27" s="60" t="inlineStr">
        <is>
          <t>PWRSOLLPV00</t>
        </is>
      </c>
      <c r="I27" s="60" t="inlineStr">
        <is>
          <t>Land Solar Plant (MWac)</t>
        </is>
      </c>
      <c r="J27" s="60" t="inlineStr">
        <is>
          <t>SG</t>
        </is>
      </c>
      <c r="K27" s="61" t="n">
        <v>2020</v>
      </c>
      <c r="L27" s="60" t="n">
        <v>2018</v>
      </c>
      <c r="M27" s="60" t="n">
        <v>25</v>
      </c>
      <c r="N27" s="60" t="inlineStr">
        <is>
          <t>-</t>
        </is>
      </c>
      <c r="O27" s="60" t="n">
        <v>0</v>
      </c>
      <c r="P27" s="60" t="inlineStr">
        <is>
          <t>PJ</t>
        </is>
      </c>
      <c r="Q27" s="60" t="inlineStr">
        <is>
          <t>MSGD2016</t>
        </is>
      </c>
      <c r="R27" s="61" t="n">
        <v>1453.545454545455</v>
      </c>
      <c r="S27" s="60" t="inlineStr">
        <is>
          <t>GW</t>
        </is>
      </c>
      <c r="T27" s="61" t="n">
        <v>26.4752922077922</v>
      </c>
      <c r="U27" s="60" t="inlineStr">
        <is>
          <t>GW*yr(2018)</t>
        </is>
      </c>
      <c r="V27" s="60" t="inlineStr">
        <is>
          <t>-</t>
        </is>
      </c>
      <c r="W27" s="60" t="inlineStr">
        <is>
          <t>PJ (2018)</t>
        </is>
      </c>
      <c r="X27" s="60" t="inlineStr">
        <is>
          <t>-</t>
        </is>
      </c>
      <c r="Y27" s="60" t="inlineStr">
        <is>
          <t>-</t>
        </is>
      </c>
      <c r="Z27" s="60" t="n">
        <v>1</v>
      </c>
      <c r="AA27" s="60" t="inlineStr">
        <is>
          <t>-</t>
        </is>
      </c>
      <c r="AB27" s="60" t="inlineStr">
        <is>
          <t>-</t>
        </is>
      </c>
      <c r="AC27" s="60" t="inlineStr">
        <is>
          <t>-</t>
        </is>
      </c>
      <c r="AD27" s="60" t="inlineStr">
        <is>
          <t>-</t>
        </is>
      </c>
      <c r="AE27" s="60" t="inlineStr">
        <is>
          <t>-</t>
        </is>
      </c>
      <c r="AF27" s="60" t="n">
        <v>0.1</v>
      </c>
      <c r="AG27" s="60" t="inlineStr">
        <is>
          <t>-</t>
        </is>
      </c>
      <c r="AH27" s="60" t="inlineStr">
        <is>
          <t>-</t>
        </is>
      </c>
      <c r="AI27" s="60" t="inlineStr">
        <is>
          <t>UP</t>
        </is>
      </c>
      <c r="AJ27" s="60" t="inlineStr">
        <is>
          <t>-</t>
        </is>
      </c>
      <c r="AK27" s="61" t="n">
        <v>0.0641013375821088</v>
      </c>
      <c r="AL27" s="60" t="inlineStr">
        <is>
          <t>-</t>
        </is>
      </c>
    </row>
    <row r="28">
      <c r="A28" s="60" t="inlineStr">
        <is>
          <t>Power</t>
        </is>
      </c>
      <c r="B28" s="60" t="inlineStr">
        <is>
          <t>ESI</t>
        </is>
      </c>
      <c r="C28" s="60" t="inlineStr">
        <is>
          <t>WP1</t>
        </is>
      </c>
      <c r="D28" s="60" t="inlineStr">
        <is>
          <t>GREF</t>
        </is>
      </c>
      <c r="E28" s="60" t="inlineStr">
        <is>
          <t>SG GREF v8.14; VT_SG_PWR_GREF</t>
        </is>
      </c>
      <c r="F28" s="60" t="inlineStr">
        <is>
          <t>WP1</t>
        </is>
      </c>
      <c r="G28" s="62" t="inlineStr">
        <is>
          <t>Scenario analysis</t>
        </is>
      </c>
      <c r="H28" s="60" t="inlineStr">
        <is>
          <t>PWRSOLLPV00</t>
        </is>
      </c>
      <c r="I28" s="60" t="inlineStr">
        <is>
          <t>Land Solar Plant (MWac)</t>
        </is>
      </c>
      <c r="J28" s="60" t="inlineStr">
        <is>
          <t>SG</t>
        </is>
      </c>
      <c r="K28" s="61" t="n">
        <v>2030</v>
      </c>
      <c r="L28" s="60" t="n">
        <v>2018</v>
      </c>
      <c r="M28" s="60" t="n">
        <v>25</v>
      </c>
      <c r="N28" s="60" t="inlineStr">
        <is>
          <t>-</t>
        </is>
      </c>
      <c r="O28" s="60" t="n">
        <v>0</v>
      </c>
      <c r="P28" s="60" t="inlineStr">
        <is>
          <t>PJ</t>
        </is>
      </c>
      <c r="Q28" s="60" t="inlineStr">
        <is>
          <t>MSGD2016</t>
        </is>
      </c>
      <c r="R28" s="61" t="n">
        <v>993.8097922077922</v>
      </c>
      <c r="S28" s="60" t="inlineStr">
        <is>
          <t>GW</t>
        </is>
      </c>
      <c r="T28" s="61" t="n">
        <v>18.14585380519481</v>
      </c>
      <c r="U28" s="60" t="inlineStr">
        <is>
          <t>GW*yr(2018)</t>
        </is>
      </c>
      <c r="V28" s="60" t="inlineStr">
        <is>
          <t>-</t>
        </is>
      </c>
      <c r="W28" s="60" t="inlineStr">
        <is>
          <t>PJ (2018)</t>
        </is>
      </c>
      <c r="X28" s="60" t="inlineStr">
        <is>
          <t>-</t>
        </is>
      </c>
      <c r="Y28" s="60" t="inlineStr">
        <is>
          <t>-</t>
        </is>
      </c>
      <c r="Z28" s="60" t="n">
        <v>1</v>
      </c>
      <c r="AA28" s="60" t="inlineStr">
        <is>
          <t>-</t>
        </is>
      </c>
      <c r="AB28" s="60" t="inlineStr">
        <is>
          <t>-</t>
        </is>
      </c>
      <c r="AC28" s="60" t="inlineStr">
        <is>
          <t>-</t>
        </is>
      </c>
      <c r="AD28" s="60" t="inlineStr">
        <is>
          <t>-</t>
        </is>
      </c>
      <c r="AE28" s="60" t="inlineStr">
        <is>
          <t>-</t>
        </is>
      </c>
      <c r="AF28" s="60" t="n">
        <v>0.1</v>
      </c>
      <c r="AG28" s="60" t="inlineStr">
        <is>
          <t>-</t>
        </is>
      </c>
      <c r="AH28" s="60" t="inlineStr">
        <is>
          <t>-</t>
        </is>
      </c>
      <c r="AI28" s="60" t="inlineStr">
        <is>
          <t>UP</t>
        </is>
      </c>
      <c r="AJ28" s="60" t="inlineStr">
        <is>
          <t>-</t>
        </is>
      </c>
      <c r="AK28" s="61" t="n">
        <v>0.870599786263404</v>
      </c>
      <c r="AL28" s="60" t="inlineStr">
        <is>
          <t>-</t>
        </is>
      </c>
    </row>
    <row r="29">
      <c r="A29" s="60" t="inlineStr">
        <is>
          <t>Power</t>
        </is>
      </c>
      <c r="B29" s="60" t="inlineStr">
        <is>
          <t>ESI</t>
        </is>
      </c>
      <c r="C29" s="60" t="inlineStr">
        <is>
          <t>WP1</t>
        </is>
      </c>
      <c r="D29" s="60" t="inlineStr">
        <is>
          <t>GREF</t>
        </is>
      </c>
      <c r="E29" s="60" t="inlineStr">
        <is>
          <t>SG GREF v8.14; VT_SG_PWR_GREF</t>
        </is>
      </c>
      <c r="F29" s="60" t="inlineStr">
        <is>
          <t>WP1</t>
        </is>
      </c>
      <c r="G29" s="62" t="inlineStr">
        <is>
          <t>Scenario analysis</t>
        </is>
      </c>
      <c r="H29" s="60" t="inlineStr">
        <is>
          <t>PWRSOLLPV00</t>
        </is>
      </c>
      <c r="I29" s="60" t="inlineStr">
        <is>
          <t>Land Solar Plant (MWac)</t>
        </is>
      </c>
      <c r="J29" s="60" t="inlineStr">
        <is>
          <t>SG</t>
        </is>
      </c>
      <c r="K29" s="61" t="n">
        <v>2050</v>
      </c>
      <c r="L29" s="60" t="n">
        <v>2018</v>
      </c>
      <c r="M29" s="60" t="n">
        <v>25</v>
      </c>
      <c r="N29" s="60" t="inlineStr">
        <is>
          <t>-</t>
        </is>
      </c>
      <c r="O29" s="60" t="n">
        <v>0</v>
      </c>
      <c r="P29" s="60" t="inlineStr">
        <is>
          <t>PJ</t>
        </is>
      </c>
      <c r="Q29" s="60" t="inlineStr">
        <is>
          <t>MSGD2016</t>
        </is>
      </c>
      <c r="R29" s="61" t="n">
        <v>889.9851168831169</v>
      </c>
      <c r="S29" s="60" t="inlineStr">
        <is>
          <t>GW</t>
        </is>
      </c>
      <c r="T29" s="61" t="n">
        <v>16.25209172727273</v>
      </c>
      <c r="U29" s="60" t="inlineStr">
        <is>
          <t>GW*yr(2018)</t>
        </is>
      </c>
      <c r="V29" s="60" t="inlineStr">
        <is>
          <t>-</t>
        </is>
      </c>
      <c r="W29" s="60" t="inlineStr">
        <is>
          <t>PJ (2018)</t>
        </is>
      </c>
      <c r="X29" s="60" t="inlineStr">
        <is>
          <t>-</t>
        </is>
      </c>
      <c r="Y29" s="60" t="inlineStr">
        <is>
          <t>-</t>
        </is>
      </c>
      <c r="Z29" s="60" t="n">
        <v>1</v>
      </c>
      <c r="AA29" s="60" t="inlineStr">
        <is>
          <t>-</t>
        </is>
      </c>
      <c r="AB29" s="60" t="inlineStr">
        <is>
          <t>-</t>
        </is>
      </c>
      <c r="AC29" s="60" t="inlineStr">
        <is>
          <t>-</t>
        </is>
      </c>
      <c r="AD29" s="60" t="inlineStr">
        <is>
          <t>-</t>
        </is>
      </c>
      <c r="AE29" s="60" t="inlineStr">
        <is>
          <t>-</t>
        </is>
      </c>
      <c r="AF29" s="60" t="n">
        <v>0.1</v>
      </c>
      <c r="AG29" s="60" t="inlineStr">
        <is>
          <t>-</t>
        </is>
      </c>
      <c r="AH29" s="60" t="inlineStr">
        <is>
          <t>-</t>
        </is>
      </c>
      <c r="AI29" s="60" t="inlineStr">
        <is>
          <t>UP</t>
        </is>
      </c>
      <c r="AJ29" s="60" t="inlineStr">
        <is>
          <t>-</t>
        </is>
      </c>
      <c r="AK29" s="61" t="n">
        <v>0.870599786263404</v>
      </c>
      <c r="AL29" s="60" t="inlineStr">
        <is>
          <t>-</t>
        </is>
      </c>
    </row>
    <row r="30">
      <c r="A30" s="60" t="inlineStr">
        <is>
          <t>Power</t>
        </is>
      </c>
      <c r="B30" s="60" t="inlineStr">
        <is>
          <t>ESI</t>
        </is>
      </c>
      <c r="C30" s="60" t="inlineStr">
        <is>
          <t>WP1</t>
        </is>
      </c>
      <c r="D30" s="60" t="inlineStr">
        <is>
          <t>GREF</t>
        </is>
      </c>
      <c r="E30" s="60" t="inlineStr">
        <is>
          <t>SG GREF v8.14; VT_SG_PWR_GREF</t>
        </is>
      </c>
      <c r="F30" s="60" t="inlineStr">
        <is>
          <t>WP1</t>
        </is>
      </c>
      <c r="G30" s="62" t="inlineStr">
        <is>
          <t>Scenario analysis</t>
        </is>
      </c>
      <c r="H30" s="60" t="inlineStr">
        <is>
          <t>IRFNGACGP00</t>
        </is>
      </c>
      <c r="I30" s="60" t="inlineStr">
        <is>
          <t>Natural gas-fired industrial refinery cogen plant</t>
        </is>
      </c>
      <c r="J30" s="60" t="inlineStr">
        <is>
          <t>SG</t>
        </is>
      </c>
      <c r="K30" s="60" t="n">
        <v>2018</v>
      </c>
      <c r="L30" s="60" t="n">
        <v>2018</v>
      </c>
      <c r="M30" s="60" t="n">
        <v>25</v>
      </c>
      <c r="N30" s="60" t="inlineStr">
        <is>
          <t>-</t>
        </is>
      </c>
      <c r="O30" s="60" t="n">
        <v>56.1</v>
      </c>
      <c r="P30" s="60" t="inlineStr">
        <is>
          <t>PJ</t>
        </is>
      </c>
      <c r="Q30" s="60" t="inlineStr">
        <is>
          <t>MSGD2016</t>
        </is>
      </c>
      <c r="R30" s="60" t="n">
        <v>1740.364094499628</v>
      </c>
      <c r="S30" s="60" t="inlineStr">
        <is>
          <t>GW</t>
        </is>
      </c>
      <c r="T30" s="60" t="n">
        <v>49</v>
      </c>
      <c r="U30" s="60" t="inlineStr">
        <is>
          <t>GW*yr(2018)</t>
        </is>
      </c>
      <c r="V30" s="60" t="n">
        <v>1.95</v>
      </c>
      <c r="W30" s="60" t="inlineStr">
        <is>
          <t>PJ (2018)</t>
        </is>
      </c>
      <c r="X30" s="60" t="inlineStr">
        <is>
          <t>-</t>
        </is>
      </c>
      <c r="Y30" s="60" t="inlineStr">
        <is>
          <t>-</t>
        </is>
      </c>
      <c r="Z30" s="60" t="n">
        <v>0.3</v>
      </c>
      <c r="AA30" s="60" t="inlineStr">
        <is>
          <t>-</t>
        </is>
      </c>
      <c r="AB30" s="60" t="n">
        <v>1</v>
      </c>
      <c r="AC30" s="60" t="inlineStr">
        <is>
          <t>-</t>
        </is>
      </c>
      <c r="AD30" s="60" t="inlineStr">
        <is>
          <t>-</t>
        </is>
      </c>
      <c r="AE30" s="60" t="inlineStr">
        <is>
          <t>-</t>
        </is>
      </c>
      <c r="AF30" s="60" t="n">
        <v>0.8</v>
      </c>
      <c r="AG30" s="60" t="n">
        <v>3</v>
      </c>
      <c r="AH30" s="60" t="inlineStr">
        <is>
          <t>-</t>
        </is>
      </c>
      <c r="AI30" s="60" t="inlineStr">
        <is>
          <t>FX</t>
        </is>
      </c>
      <c r="AJ30" s="60" t="inlineStr">
        <is>
          <t>-</t>
        </is>
      </c>
      <c r="AK30" s="60" t="inlineStr">
        <is>
          <t>-</t>
        </is>
      </c>
      <c r="AL30" s="60" t="inlineStr">
        <is>
          <t>-</t>
        </is>
      </c>
    </row>
    <row r="31">
      <c r="A31" s="60" t="inlineStr">
        <is>
          <t>Power</t>
        </is>
      </c>
      <c r="B31" s="60" t="inlineStr">
        <is>
          <t>ESI</t>
        </is>
      </c>
      <c r="C31" s="60" t="inlineStr">
        <is>
          <t>WP1</t>
        </is>
      </c>
      <c r="D31" s="60" t="inlineStr">
        <is>
          <t>GREF</t>
        </is>
      </c>
      <c r="E31" s="60" t="inlineStr">
        <is>
          <t>SG GREF v8.14; VT_SG_PWR_GREF</t>
        </is>
      </c>
      <c r="F31" s="60" t="inlineStr">
        <is>
          <t>WP1</t>
        </is>
      </c>
      <c r="G31" s="62" t="inlineStr">
        <is>
          <t>Scenario analysis</t>
        </is>
      </c>
      <c r="H31" s="60" t="inlineStr">
        <is>
          <t>IBMNGACGP00</t>
        </is>
      </c>
      <c r="I31" s="60" t="inlineStr">
        <is>
          <t>Natural gas-fired industrial biomedical cogen plant</t>
        </is>
      </c>
      <c r="J31" s="60" t="inlineStr">
        <is>
          <t>SG</t>
        </is>
      </c>
      <c r="K31" s="60" t="n">
        <v>2018</v>
      </c>
      <c r="L31" s="60" t="n">
        <v>2018</v>
      </c>
      <c r="M31" s="60" t="n">
        <v>25</v>
      </c>
      <c r="N31" s="60" t="inlineStr">
        <is>
          <t>-</t>
        </is>
      </c>
      <c r="O31" s="60" t="n">
        <v>56.1</v>
      </c>
      <c r="P31" s="60" t="inlineStr">
        <is>
          <t>PJ</t>
        </is>
      </c>
      <c r="Q31" s="60" t="inlineStr">
        <is>
          <t>MSGD2016</t>
        </is>
      </c>
      <c r="R31" s="60" t="n">
        <v>1740.364094499628</v>
      </c>
      <c r="S31" s="60" t="inlineStr">
        <is>
          <t>GW</t>
        </is>
      </c>
      <c r="T31" s="60" t="n">
        <v>49</v>
      </c>
      <c r="U31" s="60" t="inlineStr">
        <is>
          <t>GW*yr(2018)</t>
        </is>
      </c>
      <c r="V31" s="60" t="n">
        <v>1.95</v>
      </c>
      <c r="W31" s="60" t="inlineStr">
        <is>
          <t>PJ (2018)</t>
        </is>
      </c>
      <c r="X31" s="60" t="inlineStr">
        <is>
          <t>-</t>
        </is>
      </c>
      <c r="Y31" s="60" t="inlineStr">
        <is>
          <t>-</t>
        </is>
      </c>
      <c r="Z31" s="60" t="n">
        <v>0.3</v>
      </c>
      <c r="AA31" s="60" t="inlineStr">
        <is>
          <t>-</t>
        </is>
      </c>
      <c r="AB31" s="60" t="n">
        <v>1</v>
      </c>
      <c r="AC31" s="60" t="inlineStr">
        <is>
          <t>-</t>
        </is>
      </c>
      <c r="AD31" s="60" t="inlineStr">
        <is>
          <t>-</t>
        </is>
      </c>
      <c r="AE31" s="60" t="inlineStr">
        <is>
          <t>-</t>
        </is>
      </c>
      <c r="AF31" s="60" t="n">
        <v>0.8</v>
      </c>
      <c r="AG31" s="60" t="n">
        <v>3</v>
      </c>
      <c r="AH31" s="60" t="inlineStr">
        <is>
          <t>-</t>
        </is>
      </c>
      <c r="AI31" s="60" t="inlineStr">
        <is>
          <t>FX</t>
        </is>
      </c>
      <c r="AJ31" s="60" t="inlineStr">
        <is>
          <t>-</t>
        </is>
      </c>
      <c r="AK31" s="60" t="inlineStr">
        <is>
          <t>-</t>
        </is>
      </c>
      <c r="AL31" s="60" t="inlineStr">
        <is>
          <t>-</t>
        </is>
      </c>
    </row>
    <row r="32">
      <c r="A32" s="60" t="inlineStr">
        <is>
          <t>Power</t>
        </is>
      </c>
      <c r="B32" s="60" t="inlineStr">
        <is>
          <t>ESI</t>
        </is>
      </c>
      <c r="C32" s="60" t="inlineStr">
        <is>
          <t>WP1</t>
        </is>
      </c>
      <c r="D32" s="60" t="inlineStr">
        <is>
          <t>GREF</t>
        </is>
      </c>
      <c r="E32" s="60" t="inlineStr">
        <is>
          <t>SG GREF v8.14; VT_SG_PWR_GREF</t>
        </is>
      </c>
      <c r="F32" s="60" t="inlineStr">
        <is>
          <t>WP1</t>
        </is>
      </c>
      <c r="G32" s="62" t="inlineStr">
        <is>
          <t>Scenario analysis</t>
        </is>
      </c>
      <c r="H32" s="60" t="inlineStr">
        <is>
          <t>BDESOLLPV00</t>
        </is>
      </c>
      <c r="I32" s="60" t="inlineStr">
        <is>
          <t>Land Solar (MWac) - Existing Building</t>
        </is>
      </c>
      <c r="J32" s="60" t="inlineStr">
        <is>
          <t>SG</t>
        </is>
      </c>
      <c r="K32" s="61" t="n">
        <v>2018</v>
      </c>
      <c r="L32" s="60" t="n">
        <v>2018</v>
      </c>
      <c r="M32" s="60" t="n">
        <v>25</v>
      </c>
      <c r="N32" s="60" t="inlineStr">
        <is>
          <t>-</t>
        </is>
      </c>
      <c r="O32" s="60" t="n">
        <v>0</v>
      </c>
      <c r="P32" s="60" t="inlineStr">
        <is>
          <t>PJ</t>
        </is>
      </c>
      <c r="Q32" s="60" t="inlineStr">
        <is>
          <t>MSGD2016</t>
        </is>
      </c>
      <c r="R32" s="61" t="n">
        <v>2902.597402597402</v>
      </c>
      <c r="S32" s="60" t="inlineStr">
        <is>
          <t>GW</t>
        </is>
      </c>
      <c r="T32" s="61" t="n">
        <v>25.80519480519481</v>
      </c>
      <c r="U32" s="60" t="inlineStr">
        <is>
          <t>GW*yr(2018)</t>
        </is>
      </c>
      <c r="V32" s="60" t="inlineStr">
        <is>
          <t>-</t>
        </is>
      </c>
      <c r="W32" s="60" t="inlineStr">
        <is>
          <t>-</t>
        </is>
      </c>
      <c r="X32" s="60" t="inlineStr">
        <is>
          <t>-</t>
        </is>
      </c>
      <c r="Y32" s="60" t="inlineStr">
        <is>
          <t>-</t>
        </is>
      </c>
      <c r="Z32" s="60" t="inlineStr">
        <is>
          <t>-</t>
        </is>
      </c>
      <c r="AA32" s="60" t="inlineStr">
        <is>
          <t>-</t>
        </is>
      </c>
      <c r="AB32" s="60" t="inlineStr">
        <is>
          <t>-</t>
        </is>
      </c>
      <c r="AC32" s="60" t="inlineStr">
        <is>
          <t>-</t>
        </is>
      </c>
      <c r="AD32" s="60" t="inlineStr">
        <is>
          <t>-</t>
        </is>
      </c>
      <c r="AE32" s="60" t="inlineStr">
        <is>
          <t>-</t>
        </is>
      </c>
      <c r="AF32" s="60" t="n">
        <v>0.1</v>
      </c>
      <c r="AG32" s="60" t="inlineStr">
        <is>
          <t>-</t>
        </is>
      </c>
      <c r="AH32" s="60" t="inlineStr">
        <is>
          <t>-</t>
        </is>
      </c>
      <c r="AI32" s="60" t="inlineStr">
        <is>
          <t>FX</t>
        </is>
      </c>
      <c r="AJ32" s="60" t="inlineStr">
        <is>
          <t>-</t>
        </is>
      </c>
      <c r="AK32" s="60" t="inlineStr">
        <is>
          <t>-</t>
        </is>
      </c>
      <c r="AL32" s="60" t="inlineStr">
        <is>
          <t>-</t>
        </is>
      </c>
    </row>
    <row r="33">
      <c r="A33" s="60" t="inlineStr">
        <is>
          <t>Power</t>
        </is>
      </c>
      <c r="B33" s="60" t="inlineStr">
        <is>
          <t>ESI</t>
        </is>
      </c>
      <c r="C33" s="60" t="inlineStr">
        <is>
          <t>WP1</t>
        </is>
      </c>
      <c r="D33" s="60" t="inlineStr">
        <is>
          <t>GREF</t>
        </is>
      </c>
      <c r="E33" s="60" t="inlineStr">
        <is>
          <t>SG GREF v8.14; VT_SG_PWR_GREF</t>
        </is>
      </c>
      <c r="F33" s="60" t="inlineStr">
        <is>
          <t>WP1</t>
        </is>
      </c>
      <c r="G33" s="62" t="inlineStr">
        <is>
          <t>Scenario analysis</t>
        </is>
      </c>
      <c r="H33" s="60" t="inlineStr">
        <is>
          <t>BDESOLLPV00</t>
        </is>
      </c>
      <c r="I33" s="60" t="inlineStr">
        <is>
          <t>Land Solar (MWac) - Existing Building</t>
        </is>
      </c>
      <c r="J33" s="60" t="inlineStr">
        <is>
          <t>SG</t>
        </is>
      </c>
      <c r="K33" s="61" t="n">
        <v>2020</v>
      </c>
      <c r="L33" s="60" t="n">
        <v>2018</v>
      </c>
      <c r="M33" s="60" t="n">
        <v>25</v>
      </c>
      <c r="N33" s="60" t="inlineStr">
        <is>
          <t>-</t>
        </is>
      </c>
      <c r="O33" s="60" t="n">
        <v>0</v>
      </c>
      <c r="P33" s="60" t="inlineStr">
        <is>
          <t>PJ</t>
        </is>
      </c>
      <c r="Q33" s="60" t="inlineStr">
        <is>
          <t>MSGD2016</t>
        </is>
      </c>
      <c r="R33" s="61" t="n">
        <v>1453.545454545455</v>
      </c>
      <c r="S33" s="60" t="inlineStr">
        <is>
          <t>GW</t>
        </is>
      </c>
      <c r="T33" s="61" t="n">
        <v>26.4752922077922</v>
      </c>
      <c r="U33" s="60" t="inlineStr">
        <is>
          <t>GW*yr(2018)</t>
        </is>
      </c>
      <c r="V33" s="60" t="inlineStr">
        <is>
          <t>-</t>
        </is>
      </c>
      <c r="W33" s="60" t="inlineStr">
        <is>
          <t>-</t>
        </is>
      </c>
      <c r="X33" s="60" t="inlineStr">
        <is>
          <t>-</t>
        </is>
      </c>
      <c r="Y33" s="60" t="inlineStr">
        <is>
          <t>-</t>
        </is>
      </c>
      <c r="Z33" s="60" t="inlineStr">
        <is>
          <t>-</t>
        </is>
      </c>
      <c r="AA33" s="60" t="inlineStr">
        <is>
          <t>-</t>
        </is>
      </c>
      <c r="AB33" s="60" t="inlineStr">
        <is>
          <t>-</t>
        </is>
      </c>
      <c r="AC33" s="60" t="inlineStr">
        <is>
          <t>-</t>
        </is>
      </c>
      <c r="AD33" s="60" t="inlineStr">
        <is>
          <t>-</t>
        </is>
      </c>
      <c r="AE33" s="60" t="inlineStr">
        <is>
          <t>-</t>
        </is>
      </c>
      <c r="AF33" s="60" t="n">
        <v>0.1</v>
      </c>
      <c r="AG33" s="60" t="inlineStr">
        <is>
          <t>-</t>
        </is>
      </c>
      <c r="AH33" s="60" t="inlineStr">
        <is>
          <t>-</t>
        </is>
      </c>
      <c r="AI33" s="60" t="inlineStr">
        <is>
          <t>FX</t>
        </is>
      </c>
      <c r="AJ33" s="60" t="inlineStr">
        <is>
          <t>-</t>
        </is>
      </c>
      <c r="AK33" s="60" t="inlineStr">
        <is>
          <t>-</t>
        </is>
      </c>
      <c r="AL33" s="60" t="inlineStr">
        <is>
          <t>-</t>
        </is>
      </c>
    </row>
    <row r="34">
      <c r="A34" s="60" t="inlineStr">
        <is>
          <t>Power</t>
        </is>
      </c>
      <c r="B34" s="60" t="inlineStr">
        <is>
          <t>ESI</t>
        </is>
      </c>
      <c r="C34" s="60" t="inlineStr">
        <is>
          <t>WP1</t>
        </is>
      </c>
      <c r="D34" s="60" t="inlineStr">
        <is>
          <t>GREF</t>
        </is>
      </c>
      <c r="E34" s="60" t="inlineStr">
        <is>
          <t>SG GREF v8.14; VT_SG_PWR_GREF</t>
        </is>
      </c>
      <c r="F34" s="60" t="inlineStr">
        <is>
          <t>WP1</t>
        </is>
      </c>
      <c r="G34" s="62" t="inlineStr">
        <is>
          <t>Scenario analysis</t>
        </is>
      </c>
      <c r="H34" s="60" t="inlineStr">
        <is>
          <t>BDESOLLPV00</t>
        </is>
      </c>
      <c r="I34" s="60" t="inlineStr">
        <is>
          <t>Land Solar (MWac) - Existing Building</t>
        </is>
      </c>
      <c r="J34" s="60" t="inlineStr">
        <is>
          <t>SG</t>
        </is>
      </c>
      <c r="K34" s="61" t="n">
        <v>2030</v>
      </c>
      <c r="L34" s="60" t="n">
        <v>2018</v>
      </c>
      <c r="M34" s="60" t="n">
        <v>25</v>
      </c>
      <c r="N34" s="60" t="inlineStr">
        <is>
          <t>-</t>
        </is>
      </c>
      <c r="O34" s="60" t="n">
        <v>0</v>
      </c>
      <c r="P34" s="60" t="inlineStr">
        <is>
          <t>PJ</t>
        </is>
      </c>
      <c r="Q34" s="60" t="inlineStr">
        <is>
          <t>MSGD2016</t>
        </is>
      </c>
      <c r="R34" s="61" t="n">
        <v>993.8097922077922</v>
      </c>
      <c r="S34" s="60" t="inlineStr">
        <is>
          <t>GW</t>
        </is>
      </c>
      <c r="T34" s="61" t="n">
        <v>18.14585380519481</v>
      </c>
      <c r="U34" s="60" t="inlineStr">
        <is>
          <t>GW*yr(2018)</t>
        </is>
      </c>
      <c r="V34" s="60" t="inlineStr">
        <is>
          <t>-</t>
        </is>
      </c>
      <c r="W34" s="60" t="inlineStr">
        <is>
          <t>-</t>
        </is>
      </c>
      <c r="X34" s="60" t="inlineStr">
        <is>
          <t>-</t>
        </is>
      </c>
      <c r="Y34" s="60" t="inlineStr">
        <is>
          <t>-</t>
        </is>
      </c>
      <c r="Z34" s="60" t="inlineStr">
        <is>
          <t>-</t>
        </is>
      </c>
      <c r="AA34" s="60" t="inlineStr">
        <is>
          <t>-</t>
        </is>
      </c>
      <c r="AB34" s="60" t="inlineStr">
        <is>
          <t>-</t>
        </is>
      </c>
      <c r="AC34" s="60" t="inlineStr">
        <is>
          <t>-</t>
        </is>
      </c>
      <c r="AD34" s="60" t="inlineStr">
        <is>
          <t>-</t>
        </is>
      </c>
      <c r="AE34" s="60" t="inlineStr">
        <is>
          <t>-</t>
        </is>
      </c>
      <c r="AF34" s="60" t="n">
        <v>0.1</v>
      </c>
      <c r="AG34" s="60" t="inlineStr">
        <is>
          <t>-</t>
        </is>
      </c>
      <c r="AH34" s="60" t="inlineStr">
        <is>
          <t>-</t>
        </is>
      </c>
      <c r="AI34" s="60" t="inlineStr">
        <is>
          <t>FX</t>
        </is>
      </c>
      <c r="AJ34" s="60" t="inlineStr">
        <is>
          <t>-</t>
        </is>
      </c>
      <c r="AK34" s="60" t="inlineStr">
        <is>
          <t>-</t>
        </is>
      </c>
      <c r="AL34" s="60" t="inlineStr">
        <is>
          <t>-</t>
        </is>
      </c>
    </row>
    <row r="35">
      <c r="A35" s="60" t="inlineStr">
        <is>
          <t>Power</t>
        </is>
      </c>
      <c r="B35" s="60" t="inlineStr">
        <is>
          <t>ESI</t>
        </is>
      </c>
      <c r="C35" s="60" t="inlineStr">
        <is>
          <t>WP1</t>
        </is>
      </c>
      <c r="D35" s="60" t="inlineStr">
        <is>
          <t>GREF</t>
        </is>
      </c>
      <c r="E35" s="60" t="inlineStr">
        <is>
          <t>SG GREF v8.14; VT_SG_PWR_GREF</t>
        </is>
      </c>
      <c r="F35" s="60" t="inlineStr">
        <is>
          <t>WP1</t>
        </is>
      </c>
      <c r="G35" s="62" t="inlineStr">
        <is>
          <t>Scenario analysis</t>
        </is>
      </c>
      <c r="H35" s="60" t="inlineStr">
        <is>
          <t>BDESOLLPV00</t>
        </is>
      </c>
      <c r="I35" s="60" t="inlineStr">
        <is>
          <t>Land Solar (MWac) - Existing Building</t>
        </is>
      </c>
      <c r="J35" s="60" t="inlineStr">
        <is>
          <t>SG</t>
        </is>
      </c>
      <c r="K35" s="61" t="n">
        <v>2050</v>
      </c>
      <c r="L35" s="60" t="n">
        <v>2018</v>
      </c>
      <c r="M35" s="60" t="n">
        <v>25</v>
      </c>
      <c r="N35" s="60" t="inlineStr">
        <is>
          <t>-</t>
        </is>
      </c>
      <c r="O35" s="60" t="n">
        <v>0</v>
      </c>
      <c r="P35" s="60" t="inlineStr">
        <is>
          <t>PJ</t>
        </is>
      </c>
      <c r="Q35" s="60" t="inlineStr">
        <is>
          <t>MSGD2016</t>
        </is>
      </c>
      <c r="R35" s="61" t="n">
        <v>889.9851168831169</v>
      </c>
      <c r="S35" s="60" t="inlineStr">
        <is>
          <t>GW</t>
        </is>
      </c>
      <c r="T35" s="61" t="n">
        <v>16.25209172727273</v>
      </c>
      <c r="U35" s="60" t="inlineStr">
        <is>
          <t>GW*yr(2018)</t>
        </is>
      </c>
      <c r="V35" s="60" t="inlineStr">
        <is>
          <t>-</t>
        </is>
      </c>
      <c r="W35" s="60" t="inlineStr">
        <is>
          <t>-</t>
        </is>
      </c>
      <c r="X35" s="60" t="inlineStr">
        <is>
          <t>-</t>
        </is>
      </c>
      <c r="Y35" s="60" t="inlineStr">
        <is>
          <t>-</t>
        </is>
      </c>
      <c r="Z35" s="60" t="inlineStr">
        <is>
          <t>-</t>
        </is>
      </c>
      <c r="AA35" s="60" t="inlineStr">
        <is>
          <t>-</t>
        </is>
      </c>
      <c r="AB35" s="60" t="inlineStr">
        <is>
          <t>-</t>
        </is>
      </c>
      <c r="AC35" s="60" t="inlineStr">
        <is>
          <t>-</t>
        </is>
      </c>
      <c r="AD35" s="60" t="inlineStr">
        <is>
          <t>-</t>
        </is>
      </c>
      <c r="AE35" s="60" t="inlineStr">
        <is>
          <t>-</t>
        </is>
      </c>
      <c r="AF35" s="60" t="n">
        <v>0.1</v>
      </c>
      <c r="AG35" s="60" t="inlineStr">
        <is>
          <t>-</t>
        </is>
      </c>
      <c r="AH35" s="60" t="inlineStr">
        <is>
          <t>-</t>
        </is>
      </c>
      <c r="AI35" s="60" t="inlineStr">
        <is>
          <t>FX</t>
        </is>
      </c>
      <c r="AJ35" s="60" t="inlineStr">
        <is>
          <t>-</t>
        </is>
      </c>
      <c r="AK35" s="60" t="inlineStr">
        <is>
          <t>-</t>
        </is>
      </c>
      <c r="AL35" s="60" t="inlineStr">
        <is>
          <t>-</t>
        </is>
      </c>
    </row>
    <row r="36">
      <c r="A36" s="60" t="inlineStr">
        <is>
          <t>Power</t>
        </is>
      </c>
      <c r="B36" s="60" t="inlineStr">
        <is>
          <t>ESI</t>
        </is>
      </c>
      <c r="C36" s="60" t="inlineStr">
        <is>
          <t>WP1</t>
        </is>
      </c>
      <c r="D36" s="60" t="inlineStr">
        <is>
          <t>GREF</t>
        </is>
      </c>
      <c r="E36" s="60" t="inlineStr">
        <is>
          <t>SG GREF v8.14; VT_SG_PWR_GREF</t>
        </is>
      </c>
      <c r="F36" s="60" t="inlineStr">
        <is>
          <t>WP1</t>
        </is>
      </c>
      <c r="G36" s="62" t="inlineStr">
        <is>
          <t>Scenario analysis</t>
        </is>
      </c>
      <c r="H36" s="60" t="inlineStr">
        <is>
          <t>BDNSOLLPV00</t>
        </is>
      </c>
      <c r="I36" s="60" t="inlineStr">
        <is>
          <t>Land Solar (MWac) - New Building</t>
        </is>
      </c>
      <c r="J36" s="60" t="inlineStr">
        <is>
          <t>SG</t>
        </is>
      </c>
      <c r="K36" s="63" t="n">
        <v>2018</v>
      </c>
      <c r="L36" s="60" t="n">
        <v>2018</v>
      </c>
      <c r="M36" s="60" t="n">
        <v>25</v>
      </c>
      <c r="N36" s="60" t="inlineStr">
        <is>
          <t>-</t>
        </is>
      </c>
      <c r="O36" s="60" t="n">
        <v>0</v>
      </c>
      <c r="P36" s="60" t="inlineStr">
        <is>
          <t>PJ</t>
        </is>
      </c>
      <c r="Q36" s="60" t="inlineStr">
        <is>
          <t>MSGD2016</t>
        </is>
      </c>
      <c r="R36" s="63" t="n">
        <v>2902.597402597402</v>
      </c>
      <c r="S36" s="60" t="inlineStr">
        <is>
          <t>GW</t>
        </is>
      </c>
      <c r="T36" s="63" t="n">
        <v>25.80519480519481</v>
      </c>
      <c r="U36" s="60" t="inlineStr">
        <is>
          <t>GW*yr(2018)</t>
        </is>
      </c>
      <c r="V36" s="60" t="inlineStr">
        <is>
          <t>-</t>
        </is>
      </c>
      <c r="W36" s="60" t="inlineStr">
        <is>
          <t>-</t>
        </is>
      </c>
      <c r="X36" s="60" t="inlineStr">
        <is>
          <t>-</t>
        </is>
      </c>
      <c r="Y36" s="60" t="inlineStr">
        <is>
          <t>-</t>
        </is>
      </c>
      <c r="Z36" s="60" t="inlineStr">
        <is>
          <t>-</t>
        </is>
      </c>
      <c r="AA36" s="60" t="inlineStr">
        <is>
          <t>-</t>
        </is>
      </c>
      <c r="AB36" s="60" t="inlineStr">
        <is>
          <t>-</t>
        </is>
      </c>
      <c r="AC36" s="60" t="inlineStr">
        <is>
          <t>-</t>
        </is>
      </c>
      <c r="AD36" s="60" t="inlineStr">
        <is>
          <t>-</t>
        </is>
      </c>
      <c r="AE36" s="60" t="inlineStr">
        <is>
          <t>-</t>
        </is>
      </c>
      <c r="AF36" s="60" t="n">
        <v>0.1</v>
      </c>
      <c r="AG36" s="60" t="inlineStr">
        <is>
          <t>-</t>
        </is>
      </c>
      <c r="AH36" s="60" t="inlineStr">
        <is>
          <t>-</t>
        </is>
      </c>
      <c r="AI36" s="60" t="inlineStr">
        <is>
          <t>FX</t>
        </is>
      </c>
      <c r="AJ36" s="60" t="inlineStr">
        <is>
          <t>-</t>
        </is>
      </c>
      <c r="AK36" s="60" t="inlineStr">
        <is>
          <t>-</t>
        </is>
      </c>
      <c r="AL36" s="60" t="inlineStr">
        <is>
          <t>-</t>
        </is>
      </c>
    </row>
    <row r="37">
      <c r="A37" s="60" t="inlineStr">
        <is>
          <t>Power</t>
        </is>
      </c>
      <c r="B37" s="60" t="inlineStr">
        <is>
          <t>ESI</t>
        </is>
      </c>
      <c r="C37" s="60" t="inlineStr">
        <is>
          <t>WP1</t>
        </is>
      </c>
      <c r="D37" s="60" t="inlineStr">
        <is>
          <t>GREF</t>
        </is>
      </c>
      <c r="E37" s="60" t="inlineStr">
        <is>
          <t>SG GREF v8.14; VT_SG_PWR_GREF</t>
        </is>
      </c>
      <c r="F37" s="60" t="inlineStr">
        <is>
          <t>WP1</t>
        </is>
      </c>
      <c r="G37" s="62" t="inlineStr">
        <is>
          <t>Scenario analysis</t>
        </is>
      </c>
      <c r="H37" s="60" t="inlineStr">
        <is>
          <t>BDNSOLLPV00</t>
        </is>
      </c>
      <c r="I37" s="60" t="inlineStr">
        <is>
          <t>Land Solar (MWac) - New Building</t>
        </is>
      </c>
      <c r="J37" s="60" t="inlineStr">
        <is>
          <t>SG</t>
        </is>
      </c>
      <c r="K37" s="63" t="n">
        <v>2020</v>
      </c>
      <c r="L37" s="60" t="n">
        <v>2018</v>
      </c>
      <c r="M37" s="60" t="n">
        <v>25</v>
      </c>
      <c r="N37" s="60" t="inlineStr">
        <is>
          <t>-</t>
        </is>
      </c>
      <c r="O37" s="60" t="n">
        <v>0</v>
      </c>
      <c r="P37" s="60" t="inlineStr">
        <is>
          <t>PJ</t>
        </is>
      </c>
      <c r="Q37" s="60" t="inlineStr">
        <is>
          <t>MSGD2016</t>
        </is>
      </c>
      <c r="R37" s="63" t="n">
        <v>1453.545454545455</v>
      </c>
      <c r="S37" s="60" t="inlineStr">
        <is>
          <t>GW</t>
        </is>
      </c>
      <c r="T37" s="63" t="n">
        <v>26.4752922077922</v>
      </c>
      <c r="U37" s="60" t="inlineStr">
        <is>
          <t>GW*yr(2018)</t>
        </is>
      </c>
      <c r="V37" s="60" t="inlineStr">
        <is>
          <t>-</t>
        </is>
      </c>
      <c r="W37" s="60" t="inlineStr">
        <is>
          <t>-</t>
        </is>
      </c>
      <c r="X37" s="60" t="inlineStr">
        <is>
          <t>-</t>
        </is>
      </c>
      <c r="Y37" s="60" t="inlineStr">
        <is>
          <t>-</t>
        </is>
      </c>
      <c r="Z37" s="60" t="inlineStr">
        <is>
          <t>-</t>
        </is>
      </c>
      <c r="AA37" s="60" t="inlineStr">
        <is>
          <t>-</t>
        </is>
      </c>
      <c r="AB37" s="60" t="inlineStr">
        <is>
          <t>-</t>
        </is>
      </c>
      <c r="AC37" s="60" t="inlineStr">
        <is>
          <t>-</t>
        </is>
      </c>
      <c r="AD37" s="60" t="inlineStr">
        <is>
          <t>-</t>
        </is>
      </c>
      <c r="AE37" s="60" t="inlineStr">
        <is>
          <t>-</t>
        </is>
      </c>
      <c r="AF37" s="60" t="n">
        <v>0.1</v>
      </c>
      <c r="AG37" s="60" t="inlineStr">
        <is>
          <t>-</t>
        </is>
      </c>
      <c r="AH37" s="60" t="inlineStr">
        <is>
          <t>-</t>
        </is>
      </c>
      <c r="AI37" s="60" t="inlineStr">
        <is>
          <t>FX</t>
        </is>
      </c>
      <c r="AJ37" s="60" t="inlineStr">
        <is>
          <t>-</t>
        </is>
      </c>
      <c r="AK37" s="60" t="inlineStr">
        <is>
          <t>-</t>
        </is>
      </c>
      <c r="AL37" s="60" t="inlineStr">
        <is>
          <t>-</t>
        </is>
      </c>
    </row>
    <row r="38">
      <c r="A38" s="60" t="inlineStr">
        <is>
          <t>Power</t>
        </is>
      </c>
      <c r="B38" s="60" t="inlineStr">
        <is>
          <t>ESI</t>
        </is>
      </c>
      <c r="C38" s="60" t="inlineStr">
        <is>
          <t>WP1</t>
        </is>
      </c>
      <c r="D38" s="60" t="inlineStr">
        <is>
          <t>GREF</t>
        </is>
      </c>
      <c r="E38" s="60" t="inlineStr">
        <is>
          <t>SG GREF v8.14; VT_SG_PWR_GREF</t>
        </is>
      </c>
      <c r="F38" s="60" t="inlineStr">
        <is>
          <t>WP1</t>
        </is>
      </c>
      <c r="G38" s="62" t="inlineStr">
        <is>
          <t>Scenario analysis</t>
        </is>
      </c>
      <c r="H38" s="60" t="inlineStr">
        <is>
          <t>BDNSOLLPV00</t>
        </is>
      </c>
      <c r="I38" s="60" t="inlineStr">
        <is>
          <t>Land Solar (MWac) - New Building</t>
        </is>
      </c>
      <c r="J38" s="60" t="inlineStr">
        <is>
          <t>SG</t>
        </is>
      </c>
      <c r="K38" s="63" t="n">
        <v>2030</v>
      </c>
      <c r="L38" s="60" t="n">
        <v>2018</v>
      </c>
      <c r="M38" s="60" t="n">
        <v>25</v>
      </c>
      <c r="N38" s="60" t="inlineStr">
        <is>
          <t>-</t>
        </is>
      </c>
      <c r="O38" s="60" t="n">
        <v>0</v>
      </c>
      <c r="P38" s="60" t="inlineStr">
        <is>
          <t>PJ</t>
        </is>
      </c>
      <c r="Q38" s="60" t="inlineStr">
        <is>
          <t>MSGD2016</t>
        </is>
      </c>
      <c r="R38" s="63" t="n">
        <v>993.8097922077922</v>
      </c>
      <c r="S38" s="60" t="inlineStr">
        <is>
          <t>GW</t>
        </is>
      </c>
      <c r="T38" s="63" t="n">
        <v>18.14585380519481</v>
      </c>
      <c r="U38" s="60" t="inlineStr">
        <is>
          <t>GW*yr(2018)</t>
        </is>
      </c>
      <c r="V38" s="60" t="inlineStr">
        <is>
          <t>-</t>
        </is>
      </c>
      <c r="W38" s="60" t="inlineStr">
        <is>
          <t>-</t>
        </is>
      </c>
      <c r="X38" s="60" t="inlineStr">
        <is>
          <t>-</t>
        </is>
      </c>
      <c r="Y38" s="60" t="inlineStr">
        <is>
          <t>-</t>
        </is>
      </c>
      <c r="Z38" s="60" t="inlineStr">
        <is>
          <t>-</t>
        </is>
      </c>
      <c r="AA38" s="60" t="inlineStr">
        <is>
          <t>-</t>
        </is>
      </c>
      <c r="AB38" s="60" t="inlineStr">
        <is>
          <t>-</t>
        </is>
      </c>
      <c r="AC38" s="60" t="inlineStr">
        <is>
          <t>-</t>
        </is>
      </c>
      <c r="AD38" s="60" t="inlineStr">
        <is>
          <t>-</t>
        </is>
      </c>
      <c r="AE38" s="60" t="inlineStr">
        <is>
          <t>-</t>
        </is>
      </c>
      <c r="AF38" s="60" t="n">
        <v>0.1</v>
      </c>
      <c r="AG38" s="60" t="inlineStr">
        <is>
          <t>-</t>
        </is>
      </c>
      <c r="AH38" s="60" t="inlineStr">
        <is>
          <t>-</t>
        </is>
      </c>
      <c r="AI38" s="60" t="inlineStr">
        <is>
          <t>FX</t>
        </is>
      </c>
      <c r="AJ38" s="60" t="inlineStr">
        <is>
          <t>-</t>
        </is>
      </c>
      <c r="AK38" s="60" t="inlineStr">
        <is>
          <t>-</t>
        </is>
      </c>
      <c r="AL38" s="60" t="inlineStr">
        <is>
          <t>-</t>
        </is>
      </c>
    </row>
    <row r="39">
      <c r="A39" s="60" t="inlineStr">
        <is>
          <t>Power</t>
        </is>
      </c>
      <c r="B39" s="60" t="inlineStr">
        <is>
          <t>ESI</t>
        </is>
      </c>
      <c r="C39" s="60" t="inlineStr">
        <is>
          <t>WP1</t>
        </is>
      </c>
      <c r="D39" s="60" t="inlineStr">
        <is>
          <t>GREF</t>
        </is>
      </c>
      <c r="E39" s="60" t="inlineStr">
        <is>
          <t>SG GREF v8.14; VT_SG_PWR_GREF</t>
        </is>
      </c>
      <c r="F39" s="60" t="inlineStr">
        <is>
          <t>WP1</t>
        </is>
      </c>
      <c r="G39" s="62" t="inlineStr">
        <is>
          <t>Scenario analysis</t>
        </is>
      </c>
      <c r="H39" s="60" t="inlineStr">
        <is>
          <t>BDNSOLLPV00</t>
        </is>
      </c>
      <c r="I39" s="60" t="inlineStr">
        <is>
          <t>Land Solar (MWac) - New Building</t>
        </is>
      </c>
      <c r="J39" s="60" t="inlineStr">
        <is>
          <t>SG</t>
        </is>
      </c>
      <c r="K39" s="63" t="n">
        <v>2050</v>
      </c>
      <c r="L39" s="60" t="n">
        <v>2018</v>
      </c>
      <c r="M39" s="60" t="n">
        <v>25</v>
      </c>
      <c r="N39" s="60" t="inlineStr">
        <is>
          <t>-</t>
        </is>
      </c>
      <c r="O39" s="60" t="n">
        <v>0</v>
      </c>
      <c r="P39" s="60" t="inlineStr">
        <is>
          <t>PJ</t>
        </is>
      </c>
      <c r="Q39" s="60" t="inlineStr">
        <is>
          <t>MSGD2016</t>
        </is>
      </c>
      <c r="R39" s="63" t="n">
        <v>889.9851168831169</v>
      </c>
      <c r="S39" s="60" t="inlineStr">
        <is>
          <t>GW</t>
        </is>
      </c>
      <c r="T39" s="63" t="n">
        <v>16.25209172727273</v>
      </c>
      <c r="U39" s="60" t="inlineStr">
        <is>
          <t>GW*yr(2018)</t>
        </is>
      </c>
      <c r="V39" s="60" t="inlineStr">
        <is>
          <t>-</t>
        </is>
      </c>
      <c r="W39" s="60" t="inlineStr">
        <is>
          <t>-</t>
        </is>
      </c>
      <c r="X39" s="60" t="inlineStr">
        <is>
          <t>-</t>
        </is>
      </c>
      <c r="Y39" s="60" t="inlineStr">
        <is>
          <t>-</t>
        </is>
      </c>
      <c r="Z39" s="60" t="inlineStr">
        <is>
          <t>-</t>
        </is>
      </c>
      <c r="AA39" s="60" t="inlineStr">
        <is>
          <t>-</t>
        </is>
      </c>
      <c r="AB39" s="60" t="inlineStr">
        <is>
          <t>-</t>
        </is>
      </c>
      <c r="AC39" s="60" t="inlineStr">
        <is>
          <t>-</t>
        </is>
      </c>
      <c r="AD39" s="60" t="inlineStr">
        <is>
          <t>-</t>
        </is>
      </c>
      <c r="AE39" s="60" t="inlineStr">
        <is>
          <t>-</t>
        </is>
      </c>
      <c r="AF39" s="60" t="n">
        <v>0.1</v>
      </c>
      <c r="AG39" s="60" t="inlineStr">
        <is>
          <t>-</t>
        </is>
      </c>
      <c r="AH39" s="60" t="inlineStr">
        <is>
          <t>-</t>
        </is>
      </c>
      <c r="AI39" s="60" t="inlineStr">
        <is>
          <t>FX</t>
        </is>
      </c>
      <c r="AJ39" s="60" t="inlineStr">
        <is>
          <t>-</t>
        </is>
      </c>
      <c r="AK39" s="60" t="inlineStr">
        <is>
          <t>-</t>
        </is>
      </c>
      <c r="AL39" s="60" t="inlineStr">
        <is>
          <t>-</t>
        </is>
      </c>
    </row>
    <row r="40">
      <c r="A40" s="60" t="inlineStr">
        <is>
          <t>Power</t>
        </is>
      </c>
      <c r="B40" s="60" t="inlineStr">
        <is>
          <t>ESI</t>
        </is>
      </c>
      <c r="C40" s="60" t="inlineStr">
        <is>
          <t>WP1</t>
        </is>
      </c>
      <c r="D40" s="60" t="inlineStr">
        <is>
          <t>GREF</t>
        </is>
      </c>
      <c r="E40" s="60" t="inlineStr">
        <is>
          <t>SG GREF v8.14; VT_SG_PWR_GREF</t>
        </is>
      </c>
      <c r="F40" s="60" t="inlineStr">
        <is>
          <t>WP1</t>
        </is>
      </c>
      <c r="G40" s="62" t="inlineStr">
        <is>
          <t>Scenario analysis</t>
        </is>
      </c>
      <c r="H40" s="60" t="inlineStr">
        <is>
          <t>BDFSOLLPV00</t>
        </is>
      </c>
      <c r="I40" s="60" t="inlineStr">
        <is>
          <t>Land Solar (MWac) - Future New Building</t>
        </is>
      </c>
      <c r="J40" s="60" t="inlineStr">
        <is>
          <t>SG</t>
        </is>
      </c>
      <c r="K40" s="61" t="n">
        <v>2018</v>
      </c>
      <c r="L40" s="60" t="n">
        <v>2018</v>
      </c>
      <c r="M40" s="60" t="n">
        <v>25</v>
      </c>
      <c r="N40" s="60" t="inlineStr">
        <is>
          <t>-</t>
        </is>
      </c>
      <c r="O40" s="60" t="n">
        <v>0</v>
      </c>
      <c r="P40" s="60" t="inlineStr">
        <is>
          <t>PJ</t>
        </is>
      </c>
      <c r="Q40" s="60" t="inlineStr">
        <is>
          <t>MSGD2016</t>
        </is>
      </c>
      <c r="R40" s="61" t="n">
        <v>2902.597402597402</v>
      </c>
      <c r="S40" s="60" t="inlineStr">
        <is>
          <t>GW</t>
        </is>
      </c>
      <c r="T40" s="61" t="n">
        <v>25.80519480519481</v>
      </c>
      <c r="U40" s="60" t="inlineStr">
        <is>
          <t>GW*yr(2018)</t>
        </is>
      </c>
      <c r="V40" s="60" t="inlineStr">
        <is>
          <t>-</t>
        </is>
      </c>
      <c r="W40" s="60" t="inlineStr">
        <is>
          <t>-</t>
        </is>
      </c>
      <c r="X40" s="60" t="inlineStr">
        <is>
          <t>-</t>
        </is>
      </c>
      <c r="Y40" s="60" t="inlineStr">
        <is>
          <t>-</t>
        </is>
      </c>
      <c r="Z40" s="60" t="inlineStr">
        <is>
          <t>-</t>
        </is>
      </c>
      <c r="AA40" s="60" t="inlineStr">
        <is>
          <t>-</t>
        </is>
      </c>
      <c r="AB40" s="60" t="inlineStr">
        <is>
          <t>-</t>
        </is>
      </c>
      <c r="AC40" s="60" t="inlineStr">
        <is>
          <t>-</t>
        </is>
      </c>
      <c r="AD40" s="60" t="inlineStr">
        <is>
          <t>-</t>
        </is>
      </c>
      <c r="AE40" s="60" t="inlineStr">
        <is>
          <t>-</t>
        </is>
      </c>
      <c r="AF40" s="60" t="n">
        <v>0.1</v>
      </c>
      <c r="AG40" s="60" t="inlineStr">
        <is>
          <t>-</t>
        </is>
      </c>
      <c r="AH40" s="60" t="inlineStr">
        <is>
          <t>-</t>
        </is>
      </c>
      <c r="AI40" s="60" t="inlineStr">
        <is>
          <t>FX</t>
        </is>
      </c>
      <c r="AJ40" s="60" t="inlineStr">
        <is>
          <t>-</t>
        </is>
      </c>
      <c r="AK40" s="60" t="inlineStr">
        <is>
          <t>-</t>
        </is>
      </c>
      <c r="AL40" s="60" t="inlineStr">
        <is>
          <t>-</t>
        </is>
      </c>
    </row>
    <row r="41">
      <c r="A41" s="60" t="inlineStr">
        <is>
          <t>Power</t>
        </is>
      </c>
      <c r="B41" s="60" t="inlineStr">
        <is>
          <t>ESI</t>
        </is>
      </c>
      <c r="C41" s="60" t="inlineStr">
        <is>
          <t>WP1</t>
        </is>
      </c>
      <c r="D41" s="60" t="inlineStr">
        <is>
          <t>GREF</t>
        </is>
      </c>
      <c r="E41" s="60" t="inlineStr">
        <is>
          <t>SG GREF v8.14; VT_SG_PWR_GREF</t>
        </is>
      </c>
      <c r="F41" s="60" t="inlineStr">
        <is>
          <t>WP1</t>
        </is>
      </c>
      <c r="G41" s="62" t="inlineStr">
        <is>
          <t>Scenario analysis</t>
        </is>
      </c>
      <c r="H41" s="60" t="inlineStr">
        <is>
          <t>BDFSOLLPV00</t>
        </is>
      </c>
      <c r="I41" s="60" t="inlineStr">
        <is>
          <t>Land Solar (MWac) - Future New Building</t>
        </is>
      </c>
      <c r="J41" s="60" t="inlineStr">
        <is>
          <t>SG</t>
        </is>
      </c>
      <c r="K41" s="61" t="n">
        <v>2020</v>
      </c>
      <c r="L41" s="60" t="n">
        <v>2018</v>
      </c>
      <c r="M41" s="60" t="n">
        <v>25</v>
      </c>
      <c r="N41" s="60" t="inlineStr">
        <is>
          <t>-</t>
        </is>
      </c>
      <c r="O41" s="60" t="n">
        <v>0</v>
      </c>
      <c r="P41" s="60" t="inlineStr">
        <is>
          <t>PJ</t>
        </is>
      </c>
      <c r="Q41" s="60" t="inlineStr">
        <is>
          <t>MSGD2016</t>
        </is>
      </c>
      <c r="R41" s="61" t="n">
        <v>1453.545454545455</v>
      </c>
      <c r="S41" s="60" t="inlineStr">
        <is>
          <t>GW</t>
        </is>
      </c>
      <c r="T41" s="61" t="n">
        <v>26.4752922077922</v>
      </c>
      <c r="U41" s="60" t="inlineStr">
        <is>
          <t>GW*yr(2018)</t>
        </is>
      </c>
      <c r="V41" s="60" t="inlineStr">
        <is>
          <t>-</t>
        </is>
      </c>
      <c r="W41" s="60" t="inlineStr">
        <is>
          <t>-</t>
        </is>
      </c>
      <c r="X41" s="60" t="inlineStr">
        <is>
          <t>-</t>
        </is>
      </c>
      <c r="Y41" s="60" t="inlineStr">
        <is>
          <t>-</t>
        </is>
      </c>
      <c r="Z41" s="60" t="inlineStr">
        <is>
          <t>-</t>
        </is>
      </c>
      <c r="AA41" s="60" t="inlineStr">
        <is>
          <t>-</t>
        </is>
      </c>
      <c r="AB41" s="60" t="inlineStr">
        <is>
          <t>-</t>
        </is>
      </c>
      <c r="AC41" s="60" t="inlineStr">
        <is>
          <t>-</t>
        </is>
      </c>
      <c r="AD41" s="60" t="inlineStr">
        <is>
          <t>-</t>
        </is>
      </c>
      <c r="AE41" s="60" t="inlineStr">
        <is>
          <t>-</t>
        </is>
      </c>
      <c r="AF41" s="60" t="n">
        <v>0.1</v>
      </c>
      <c r="AG41" s="60" t="inlineStr">
        <is>
          <t>-</t>
        </is>
      </c>
      <c r="AH41" s="60" t="inlineStr">
        <is>
          <t>-</t>
        </is>
      </c>
      <c r="AI41" s="60" t="inlineStr">
        <is>
          <t>FX</t>
        </is>
      </c>
      <c r="AJ41" s="60" t="inlineStr">
        <is>
          <t>-</t>
        </is>
      </c>
      <c r="AK41" s="60" t="inlineStr">
        <is>
          <t>-</t>
        </is>
      </c>
      <c r="AL41" s="60" t="inlineStr">
        <is>
          <t>-</t>
        </is>
      </c>
    </row>
    <row r="42">
      <c r="A42" s="60" t="inlineStr">
        <is>
          <t>Power</t>
        </is>
      </c>
      <c r="B42" s="60" t="inlineStr">
        <is>
          <t>ESI</t>
        </is>
      </c>
      <c r="C42" s="60" t="inlineStr">
        <is>
          <t>WP1</t>
        </is>
      </c>
      <c r="D42" s="60" t="inlineStr">
        <is>
          <t>GREF</t>
        </is>
      </c>
      <c r="E42" s="60" t="inlineStr">
        <is>
          <t>SG GREF v8.14; VT_SG_PWR_GREF</t>
        </is>
      </c>
      <c r="F42" s="60" t="inlineStr">
        <is>
          <t>WP1</t>
        </is>
      </c>
      <c r="G42" s="62" t="inlineStr">
        <is>
          <t>Scenario analysis</t>
        </is>
      </c>
      <c r="H42" s="60" t="inlineStr">
        <is>
          <t>BDFSOLLPV00</t>
        </is>
      </c>
      <c r="I42" s="60" t="inlineStr">
        <is>
          <t>Land Solar (MWac) - Future New Building</t>
        </is>
      </c>
      <c r="J42" s="60" t="inlineStr">
        <is>
          <t>SG</t>
        </is>
      </c>
      <c r="K42" s="61" t="n">
        <v>2030</v>
      </c>
      <c r="L42" s="60" t="n">
        <v>2018</v>
      </c>
      <c r="M42" s="60" t="n">
        <v>25</v>
      </c>
      <c r="N42" s="60" t="inlineStr">
        <is>
          <t>-</t>
        </is>
      </c>
      <c r="O42" s="60" t="n">
        <v>0</v>
      </c>
      <c r="P42" s="60" t="inlineStr">
        <is>
          <t>PJ</t>
        </is>
      </c>
      <c r="Q42" s="60" t="inlineStr">
        <is>
          <t>MSGD2016</t>
        </is>
      </c>
      <c r="R42" s="61" t="n">
        <v>993.8097922077922</v>
      </c>
      <c r="S42" s="60" t="inlineStr">
        <is>
          <t>GW</t>
        </is>
      </c>
      <c r="T42" s="61" t="n">
        <v>18.14585380519481</v>
      </c>
      <c r="U42" s="60" t="inlineStr">
        <is>
          <t>GW*yr(2018)</t>
        </is>
      </c>
      <c r="V42" s="60" t="inlineStr">
        <is>
          <t>-</t>
        </is>
      </c>
      <c r="W42" s="60" t="inlineStr">
        <is>
          <t>-</t>
        </is>
      </c>
      <c r="X42" s="60" t="inlineStr">
        <is>
          <t>-</t>
        </is>
      </c>
      <c r="Y42" s="60" t="inlineStr">
        <is>
          <t>-</t>
        </is>
      </c>
      <c r="Z42" s="60" t="inlineStr">
        <is>
          <t>-</t>
        </is>
      </c>
      <c r="AA42" s="60" t="inlineStr">
        <is>
          <t>-</t>
        </is>
      </c>
      <c r="AB42" s="60" t="inlineStr">
        <is>
          <t>-</t>
        </is>
      </c>
      <c r="AC42" s="60" t="inlineStr">
        <is>
          <t>-</t>
        </is>
      </c>
      <c r="AD42" s="60" t="inlineStr">
        <is>
          <t>-</t>
        </is>
      </c>
      <c r="AE42" s="60" t="inlineStr">
        <is>
          <t>-</t>
        </is>
      </c>
      <c r="AF42" s="60" t="n">
        <v>0.1</v>
      </c>
      <c r="AG42" s="60" t="inlineStr">
        <is>
          <t>-</t>
        </is>
      </c>
      <c r="AH42" s="60" t="inlineStr">
        <is>
          <t>-</t>
        </is>
      </c>
      <c r="AI42" s="60" t="inlineStr">
        <is>
          <t>FX</t>
        </is>
      </c>
      <c r="AJ42" s="60" t="inlineStr">
        <is>
          <t>-</t>
        </is>
      </c>
      <c r="AK42" s="60" t="inlineStr">
        <is>
          <t>-</t>
        </is>
      </c>
      <c r="AL42" s="60" t="inlineStr">
        <is>
          <t>-</t>
        </is>
      </c>
    </row>
    <row r="43">
      <c r="A43" s="60" t="inlineStr">
        <is>
          <t>Power</t>
        </is>
      </c>
      <c r="B43" s="60" t="inlineStr">
        <is>
          <t>ESI</t>
        </is>
      </c>
      <c r="C43" s="60" t="inlineStr">
        <is>
          <t>WP1</t>
        </is>
      </c>
      <c r="D43" s="60" t="inlineStr">
        <is>
          <t>GREF</t>
        </is>
      </c>
      <c r="E43" s="60" t="inlineStr">
        <is>
          <t>SG GREF v8.14; VT_SG_PWR_GREF</t>
        </is>
      </c>
      <c r="F43" s="60" t="inlineStr">
        <is>
          <t>WP1</t>
        </is>
      </c>
      <c r="G43" s="62" t="inlineStr">
        <is>
          <t>Scenario analysis</t>
        </is>
      </c>
      <c r="H43" s="60" t="inlineStr">
        <is>
          <t>BDFSOLLPV00</t>
        </is>
      </c>
      <c r="I43" s="60" t="inlineStr">
        <is>
          <t>Land Solar (MWac) - Future New Building</t>
        </is>
      </c>
      <c r="J43" s="60" t="inlineStr">
        <is>
          <t>SG</t>
        </is>
      </c>
      <c r="K43" s="61" t="n">
        <v>2050</v>
      </c>
      <c r="L43" s="60" t="n">
        <v>2018</v>
      </c>
      <c r="M43" s="60" t="n">
        <v>25</v>
      </c>
      <c r="N43" s="60" t="inlineStr">
        <is>
          <t>-</t>
        </is>
      </c>
      <c r="O43" s="60" t="n">
        <v>0</v>
      </c>
      <c r="P43" s="60" t="inlineStr">
        <is>
          <t>PJ</t>
        </is>
      </c>
      <c r="Q43" s="60" t="inlineStr">
        <is>
          <t>MSGD2016</t>
        </is>
      </c>
      <c r="R43" s="61" t="n">
        <v>889.9851168831169</v>
      </c>
      <c r="S43" s="60" t="inlineStr">
        <is>
          <t>GW</t>
        </is>
      </c>
      <c r="T43" s="61" t="n">
        <v>16.25209172727273</v>
      </c>
      <c r="U43" s="60" t="inlineStr">
        <is>
          <t>GW*yr(2018)</t>
        </is>
      </c>
      <c r="V43" s="60" t="inlineStr">
        <is>
          <t>-</t>
        </is>
      </c>
      <c r="W43" s="60" t="inlineStr">
        <is>
          <t>-</t>
        </is>
      </c>
      <c r="X43" s="60" t="inlineStr">
        <is>
          <t>-</t>
        </is>
      </c>
      <c r="Y43" s="60" t="inlineStr">
        <is>
          <t>-</t>
        </is>
      </c>
      <c r="Z43" s="60" t="inlineStr">
        <is>
          <t>-</t>
        </is>
      </c>
      <c r="AA43" s="60" t="inlineStr">
        <is>
          <t>-</t>
        </is>
      </c>
      <c r="AB43" s="60" t="inlineStr">
        <is>
          <t>-</t>
        </is>
      </c>
      <c r="AC43" s="60" t="inlineStr">
        <is>
          <t>-</t>
        </is>
      </c>
      <c r="AD43" s="60" t="inlineStr">
        <is>
          <t>-</t>
        </is>
      </c>
      <c r="AE43" s="60" t="inlineStr">
        <is>
          <t>-</t>
        </is>
      </c>
      <c r="AF43" s="60" t="n">
        <v>0.1</v>
      </c>
      <c r="AG43" s="60" t="inlineStr">
        <is>
          <t>-</t>
        </is>
      </c>
      <c r="AH43" s="60" t="inlineStr">
        <is>
          <t>-</t>
        </is>
      </c>
      <c r="AI43" s="60" t="inlineStr">
        <is>
          <t>FX</t>
        </is>
      </c>
      <c r="AJ43" s="60" t="inlineStr">
        <is>
          <t>-</t>
        </is>
      </c>
      <c r="AK43" s="60" t="inlineStr">
        <is>
          <t>-</t>
        </is>
      </c>
      <c r="AL43" s="60" t="inlineStr">
        <is>
          <t>-</t>
        </is>
      </c>
    </row>
    <row r="44">
      <c r="A44" s="60" t="inlineStr">
        <is>
          <t>Power</t>
        </is>
      </c>
      <c r="B44" s="60" t="inlineStr">
        <is>
          <t>ESI</t>
        </is>
      </c>
      <c r="C44" s="60" t="inlineStr">
        <is>
          <t>WP1</t>
        </is>
      </c>
      <c r="D44" s="60" t="inlineStr">
        <is>
          <t>GREF</t>
        </is>
      </c>
      <c r="E44" s="60" t="inlineStr">
        <is>
          <t>SG GREF v8.14; VT_SG_PWR_GREF</t>
        </is>
      </c>
      <c r="F44" s="60" t="inlineStr">
        <is>
          <t>WP1</t>
        </is>
      </c>
      <c r="G44" s="62" t="inlineStr">
        <is>
          <t>Scenario analysis</t>
        </is>
      </c>
      <c r="H44" s="60" t="inlineStr">
        <is>
          <t>WATSOLFPV00</t>
        </is>
      </c>
      <c r="I44" s="60" t="inlineStr">
        <is>
          <t>Floating Solar (MWac) - Water</t>
        </is>
      </c>
      <c r="J44" s="60" t="inlineStr">
        <is>
          <t>SG</t>
        </is>
      </c>
      <c r="K44" s="63" t="n">
        <v>2018</v>
      </c>
      <c r="L44" s="60" t="n">
        <v>2018</v>
      </c>
      <c r="M44" s="60" t="n">
        <v>25</v>
      </c>
      <c r="N44" s="60" t="inlineStr">
        <is>
          <t>-</t>
        </is>
      </c>
      <c r="O44" s="60" t="n">
        <v>0</v>
      </c>
      <c r="P44" s="60" t="inlineStr">
        <is>
          <t>PJ</t>
        </is>
      </c>
      <c r="Q44" s="60" t="inlineStr">
        <is>
          <t>MSGD2016</t>
        </is>
      </c>
      <c r="R44" s="63" t="n">
        <v>3425.064935064935</v>
      </c>
      <c r="S44" s="60" t="inlineStr">
        <is>
          <t>GW</t>
        </is>
      </c>
      <c r="T44" s="63" t="n">
        <v>30.45012987012987</v>
      </c>
      <c r="U44" s="60" t="inlineStr">
        <is>
          <t>GW*yr(2018)</t>
        </is>
      </c>
      <c r="V44" s="60" t="inlineStr">
        <is>
          <t>-</t>
        </is>
      </c>
      <c r="W44" s="60" t="inlineStr">
        <is>
          <t>-</t>
        </is>
      </c>
      <c r="X44" s="60" t="inlineStr">
        <is>
          <t>-</t>
        </is>
      </c>
      <c r="Y44" s="60" t="inlineStr">
        <is>
          <t>-</t>
        </is>
      </c>
      <c r="Z44" s="60" t="inlineStr">
        <is>
          <t>-</t>
        </is>
      </c>
      <c r="AA44" s="60" t="inlineStr">
        <is>
          <t>-</t>
        </is>
      </c>
      <c r="AB44" s="60" t="inlineStr">
        <is>
          <t>-</t>
        </is>
      </c>
      <c r="AC44" s="60" t="inlineStr">
        <is>
          <t>-</t>
        </is>
      </c>
      <c r="AD44" s="60" t="inlineStr">
        <is>
          <t>-</t>
        </is>
      </c>
      <c r="AE44" s="60" t="inlineStr">
        <is>
          <t>-</t>
        </is>
      </c>
      <c r="AF44" s="60" t="n">
        <v>0.1</v>
      </c>
      <c r="AG44" s="60" t="inlineStr">
        <is>
          <t>-</t>
        </is>
      </c>
      <c r="AH44" s="60" t="inlineStr">
        <is>
          <t>-</t>
        </is>
      </c>
      <c r="AI44" s="60" t="inlineStr">
        <is>
          <t>FX</t>
        </is>
      </c>
      <c r="AJ44" s="60" t="inlineStr">
        <is>
          <t>-</t>
        </is>
      </c>
      <c r="AK44" s="60" t="inlineStr">
        <is>
          <t>-</t>
        </is>
      </c>
      <c r="AL44" s="60" t="inlineStr">
        <is>
          <t>-</t>
        </is>
      </c>
    </row>
    <row r="45">
      <c r="A45" s="60" t="inlineStr">
        <is>
          <t>Power</t>
        </is>
      </c>
      <c r="B45" s="60" t="inlineStr">
        <is>
          <t>ESI</t>
        </is>
      </c>
      <c r="C45" s="60" t="inlineStr">
        <is>
          <t>WP1</t>
        </is>
      </c>
      <c r="D45" s="60" t="inlineStr">
        <is>
          <t>GREF</t>
        </is>
      </c>
      <c r="E45" s="60" t="inlineStr">
        <is>
          <t>SG GREF v8.14; VT_SG_PWR_GREF</t>
        </is>
      </c>
      <c r="F45" s="60" t="inlineStr">
        <is>
          <t>WP1</t>
        </is>
      </c>
      <c r="G45" s="62" t="inlineStr">
        <is>
          <t>Scenario analysis</t>
        </is>
      </c>
      <c r="H45" s="60" t="inlineStr">
        <is>
          <t>WATSOLFPV00</t>
        </is>
      </c>
      <c r="I45" s="60" t="inlineStr">
        <is>
          <t>Floating Solar (MWac) - Water</t>
        </is>
      </c>
      <c r="J45" s="60" t="inlineStr">
        <is>
          <t>SG</t>
        </is>
      </c>
      <c r="K45" s="63" t="n">
        <v>2020</v>
      </c>
      <c r="L45" s="60" t="n">
        <v>2018</v>
      </c>
      <c r="M45" s="60" t="n">
        <v>25</v>
      </c>
      <c r="N45" s="60" t="inlineStr">
        <is>
          <t>-</t>
        </is>
      </c>
      <c r="O45" s="60" t="n">
        <v>0</v>
      </c>
      <c r="P45" s="60" t="inlineStr">
        <is>
          <t>PJ</t>
        </is>
      </c>
      <c r="Q45" s="60" t="inlineStr">
        <is>
          <t>MSGD2016</t>
        </is>
      </c>
      <c r="R45" s="63" t="n">
        <v>2180.318181818182</v>
      </c>
      <c r="S45" s="60" t="inlineStr">
        <is>
          <t>GW</t>
        </is>
      </c>
      <c r="T45" s="63" t="n">
        <v>32.70477272727273</v>
      </c>
      <c r="U45" s="60" t="inlineStr">
        <is>
          <t>GW*yr(2018)</t>
        </is>
      </c>
      <c r="V45" s="60" t="inlineStr">
        <is>
          <t>-</t>
        </is>
      </c>
      <c r="W45" s="60" t="inlineStr">
        <is>
          <t>-</t>
        </is>
      </c>
      <c r="X45" s="60" t="inlineStr">
        <is>
          <t>-</t>
        </is>
      </c>
      <c r="Y45" s="60" t="inlineStr">
        <is>
          <t>-</t>
        </is>
      </c>
      <c r="Z45" s="60" t="inlineStr">
        <is>
          <t>-</t>
        </is>
      </c>
      <c r="AA45" s="60" t="inlineStr">
        <is>
          <t>-</t>
        </is>
      </c>
      <c r="AB45" s="60" t="inlineStr">
        <is>
          <t>-</t>
        </is>
      </c>
      <c r="AC45" s="60" t="inlineStr">
        <is>
          <t>-</t>
        </is>
      </c>
      <c r="AD45" s="60" t="inlineStr">
        <is>
          <t>-</t>
        </is>
      </c>
      <c r="AE45" s="60" t="inlineStr">
        <is>
          <t>-</t>
        </is>
      </c>
      <c r="AF45" s="60" t="n">
        <v>0.1</v>
      </c>
      <c r="AG45" s="60" t="inlineStr">
        <is>
          <t>-</t>
        </is>
      </c>
      <c r="AH45" s="60" t="inlineStr">
        <is>
          <t>-</t>
        </is>
      </c>
      <c r="AI45" s="60" t="inlineStr">
        <is>
          <t>FX</t>
        </is>
      </c>
      <c r="AJ45" s="60" t="inlineStr">
        <is>
          <t>-</t>
        </is>
      </c>
      <c r="AK45" s="60" t="inlineStr">
        <is>
          <t>-</t>
        </is>
      </c>
      <c r="AL45" s="60" t="inlineStr">
        <is>
          <t>-</t>
        </is>
      </c>
    </row>
    <row r="46">
      <c r="A46" s="60" t="inlineStr">
        <is>
          <t>Power</t>
        </is>
      </c>
      <c r="B46" s="60" t="inlineStr">
        <is>
          <t>ESI</t>
        </is>
      </c>
      <c r="C46" s="60" t="inlineStr">
        <is>
          <t>WP1</t>
        </is>
      </c>
      <c r="D46" s="60" t="inlineStr">
        <is>
          <t>GREF</t>
        </is>
      </c>
      <c r="E46" s="60" t="inlineStr">
        <is>
          <t>SG GREF v8.14; VT_SG_PWR_GREF</t>
        </is>
      </c>
      <c r="F46" s="60" t="inlineStr">
        <is>
          <t>WP1</t>
        </is>
      </c>
      <c r="G46" s="62" t="inlineStr">
        <is>
          <t>Scenario analysis</t>
        </is>
      </c>
      <c r="H46" s="60" t="inlineStr">
        <is>
          <t>WATSOLFPV00</t>
        </is>
      </c>
      <c r="I46" s="60" t="inlineStr">
        <is>
          <t>Floating Solar (MWac) - Water</t>
        </is>
      </c>
      <c r="J46" s="60" t="inlineStr">
        <is>
          <t>SG</t>
        </is>
      </c>
      <c r="K46" s="63" t="n">
        <v>2030</v>
      </c>
      <c r="L46" s="60" t="n">
        <v>2018</v>
      </c>
      <c r="M46" s="60" t="n">
        <v>25</v>
      </c>
      <c r="N46" s="60" t="inlineStr">
        <is>
          <t>-</t>
        </is>
      </c>
      <c r="O46" s="60" t="n">
        <v>0</v>
      </c>
      <c r="P46" s="60" t="inlineStr">
        <is>
          <t>PJ</t>
        </is>
      </c>
      <c r="Q46" s="60" t="inlineStr">
        <is>
          <t>MSGD2016</t>
        </is>
      </c>
      <c r="R46" s="63" t="n">
        <v>1264.584545454545</v>
      </c>
      <c r="S46" s="60" t="inlineStr">
        <is>
          <t>GW</t>
        </is>
      </c>
      <c r="T46" s="63" t="n">
        <v>18.96876818181818</v>
      </c>
      <c r="U46" s="60" t="inlineStr">
        <is>
          <t>GW*yr(2018)</t>
        </is>
      </c>
      <c r="V46" s="60" t="inlineStr">
        <is>
          <t>-</t>
        </is>
      </c>
      <c r="W46" s="60" t="inlineStr">
        <is>
          <t>-</t>
        </is>
      </c>
      <c r="X46" s="60" t="inlineStr">
        <is>
          <t>-</t>
        </is>
      </c>
      <c r="Y46" s="60" t="inlineStr">
        <is>
          <t>-</t>
        </is>
      </c>
      <c r="Z46" s="60" t="inlineStr">
        <is>
          <t>-</t>
        </is>
      </c>
      <c r="AA46" s="60" t="inlineStr">
        <is>
          <t>-</t>
        </is>
      </c>
      <c r="AB46" s="60" t="inlineStr">
        <is>
          <t>-</t>
        </is>
      </c>
      <c r="AC46" s="60" t="inlineStr">
        <is>
          <t>-</t>
        </is>
      </c>
      <c r="AD46" s="60" t="inlineStr">
        <is>
          <t>-</t>
        </is>
      </c>
      <c r="AE46" s="60" t="inlineStr">
        <is>
          <t>-</t>
        </is>
      </c>
      <c r="AF46" s="60" t="n">
        <v>0.1</v>
      </c>
      <c r="AG46" s="60" t="inlineStr">
        <is>
          <t>-</t>
        </is>
      </c>
      <c r="AH46" s="60" t="inlineStr">
        <is>
          <t>-</t>
        </is>
      </c>
      <c r="AI46" s="60" t="inlineStr">
        <is>
          <t>FX</t>
        </is>
      </c>
      <c r="AJ46" s="60" t="inlineStr">
        <is>
          <t>-</t>
        </is>
      </c>
      <c r="AK46" s="60" t="inlineStr">
        <is>
          <t>-</t>
        </is>
      </c>
      <c r="AL46" s="60" t="inlineStr">
        <is>
          <t>-</t>
        </is>
      </c>
    </row>
    <row r="47">
      <c r="A47" s="60" t="inlineStr">
        <is>
          <t>Power</t>
        </is>
      </c>
      <c r="B47" s="60" t="inlineStr">
        <is>
          <t>ESI</t>
        </is>
      </c>
      <c r="C47" s="60" t="inlineStr">
        <is>
          <t>WP1</t>
        </is>
      </c>
      <c r="D47" s="60" t="inlineStr">
        <is>
          <t>GREF</t>
        </is>
      </c>
      <c r="E47" s="60" t="inlineStr">
        <is>
          <t>SG GREF v8.14; VT_SG_PWR_GREF</t>
        </is>
      </c>
      <c r="F47" s="60" t="inlineStr">
        <is>
          <t>WP1</t>
        </is>
      </c>
      <c r="G47" s="62" t="inlineStr">
        <is>
          <t>Scenario analysis</t>
        </is>
      </c>
      <c r="H47" s="60" t="inlineStr">
        <is>
          <t>WATSOLFPV00</t>
        </is>
      </c>
      <c r="I47" s="60" t="inlineStr">
        <is>
          <t>Floating Solar (MWac) - Water</t>
        </is>
      </c>
      <c r="J47" s="60" t="inlineStr">
        <is>
          <t>SG</t>
        </is>
      </c>
      <c r="K47" s="63" t="n">
        <v>2050</v>
      </c>
      <c r="L47" s="60" t="n">
        <v>2018</v>
      </c>
      <c r="M47" s="60" t="n">
        <v>25</v>
      </c>
      <c r="N47" s="60" t="inlineStr">
        <is>
          <t>-</t>
        </is>
      </c>
      <c r="O47" s="60" t="n">
        <v>0</v>
      </c>
      <c r="P47" s="60" t="inlineStr">
        <is>
          <t>PJ</t>
        </is>
      </c>
      <c r="Q47" s="60" t="inlineStr">
        <is>
          <t>MSGD2016</t>
        </is>
      </c>
      <c r="R47" s="63" t="n">
        <v>981.1431818181816</v>
      </c>
      <c r="S47" s="60" t="inlineStr">
        <is>
          <t>GW</t>
        </is>
      </c>
      <c r="T47" s="63" t="n">
        <v>14.71714772727272</v>
      </c>
      <c r="U47" s="60" t="inlineStr">
        <is>
          <t>GW*yr(2018)</t>
        </is>
      </c>
      <c r="V47" s="60" t="inlineStr">
        <is>
          <t>-</t>
        </is>
      </c>
      <c r="W47" s="60" t="inlineStr">
        <is>
          <t>-</t>
        </is>
      </c>
      <c r="X47" s="60" t="inlineStr">
        <is>
          <t>-</t>
        </is>
      </c>
      <c r="Y47" s="60" t="inlineStr">
        <is>
          <t>-</t>
        </is>
      </c>
      <c r="Z47" s="60" t="inlineStr">
        <is>
          <t>-</t>
        </is>
      </c>
      <c r="AA47" s="60" t="inlineStr">
        <is>
          <t>-</t>
        </is>
      </c>
      <c r="AB47" s="60" t="inlineStr">
        <is>
          <t>-</t>
        </is>
      </c>
      <c r="AC47" s="60" t="inlineStr">
        <is>
          <t>-</t>
        </is>
      </c>
      <c r="AD47" s="60" t="inlineStr">
        <is>
          <t>-</t>
        </is>
      </c>
      <c r="AE47" s="60" t="inlineStr">
        <is>
          <t>-</t>
        </is>
      </c>
      <c r="AF47" s="60" t="n">
        <v>0.1</v>
      </c>
      <c r="AG47" s="60" t="inlineStr">
        <is>
          <t>-</t>
        </is>
      </c>
      <c r="AH47" s="60" t="inlineStr">
        <is>
          <t>-</t>
        </is>
      </c>
      <c r="AI47" s="60" t="inlineStr">
        <is>
          <t>FX</t>
        </is>
      </c>
      <c r="AJ47" s="60" t="inlineStr">
        <is>
          <t>-</t>
        </is>
      </c>
      <c r="AK47" s="60" t="inlineStr">
        <is>
          <t>-</t>
        </is>
      </c>
      <c r="AL47" s="60" t="inlineStr">
        <is>
          <t>-</t>
        </is>
      </c>
    </row>
    <row r="48">
      <c r="A48" s="60" t="inlineStr">
        <is>
          <t>Power</t>
        </is>
      </c>
      <c r="B48" s="60" t="inlineStr">
        <is>
          <t>ESI</t>
        </is>
      </c>
      <c r="C48" s="60" t="inlineStr">
        <is>
          <t>WP1</t>
        </is>
      </c>
      <c r="D48" s="60" t="inlineStr">
        <is>
          <t>GREF</t>
        </is>
      </c>
      <c r="E48" s="60" t="inlineStr">
        <is>
          <t>SG GREF v8.14; VT_SG_PWR_GREF</t>
        </is>
      </c>
      <c r="F48" s="60" t="inlineStr">
        <is>
          <t>WP1</t>
        </is>
      </c>
      <c r="G48" s="62" t="inlineStr">
        <is>
          <t>Scenario analysis</t>
        </is>
      </c>
      <c r="H48" s="60" t="inlineStr">
        <is>
          <t>TPASOLLPV00</t>
        </is>
      </c>
      <c r="I48" s="60" t="inlineStr">
        <is>
          <t>Land Solar (MWac) - PSA Port Facilities</t>
        </is>
      </c>
      <c r="J48" s="60" t="inlineStr">
        <is>
          <t>SG</t>
        </is>
      </c>
      <c r="K48" s="61" t="n">
        <v>2018</v>
      </c>
      <c r="L48" s="60" t="n">
        <v>2018</v>
      </c>
      <c r="M48" s="60" t="n">
        <v>25</v>
      </c>
      <c r="N48" s="60" t="inlineStr">
        <is>
          <t>-</t>
        </is>
      </c>
      <c r="O48" s="60" t="n">
        <v>0</v>
      </c>
      <c r="P48" s="60" t="inlineStr">
        <is>
          <t>PJ</t>
        </is>
      </c>
      <c r="Q48" s="60" t="inlineStr">
        <is>
          <t>MSGD2016</t>
        </is>
      </c>
      <c r="R48" s="61" t="n">
        <v>2902.597402597402</v>
      </c>
      <c r="S48" s="60" t="inlineStr">
        <is>
          <t>GW</t>
        </is>
      </c>
      <c r="T48" s="61" t="n">
        <v>25.80519480519481</v>
      </c>
      <c r="U48" s="60" t="inlineStr">
        <is>
          <t>GW*yr(2018)</t>
        </is>
      </c>
      <c r="V48" s="60" t="inlineStr">
        <is>
          <t>-</t>
        </is>
      </c>
      <c r="W48" s="60" t="inlineStr">
        <is>
          <t>-</t>
        </is>
      </c>
      <c r="X48" s="60" t="inlineStr">
        <is>
          <t>-</t>
        </is>
      </c>
      <c r="Y48" s="60" t="inlineStr">
        <is>
          <t>-</t>
        </is>
      </c>
      <c r="Z48" s="60" t="inlineStr">
        <is>
          <t>-</t>
        </is>
      </c>
      <c r="AA48" s="60" t="inlineStr">
        <is>
          <t>-</t>
        </is>
      </c>
      <c r="AB48" s="60" t="inlineStr">
        <is>
          <t>-</t>
        </is>
      </c>
      <c r="AC48" s="60" t="inlineStr">
        <is>
          <t>-</t>
        </is>
      </c>
      <c r="AD48" s="60" t="inlineStr">
        <is>
          <t>-</t>
        </is>
      </c>
      <c r="AE48" s="60" t="inlineStr">
        <is>
          <t>-</t>
        </is>
      </c>
      <c r="AF48" s="60" t="n">
        <v>0.1</v>
      </c>
      <c r="AG48" s="60" t="inlineStr">
        <is>
          <t>-</t>
        </is>
      </c>
      <c r="AH48" s="60" t="inlineStr">
        <is>
          <t>-</t>
        </is>
      </c>
      <c r="AI48" s="60" t="inlineStr">
        <is>
          <t>FX</t>
        </is>
      </c>
      <c r="AJ48" s="60" t="inlineStr">
        <is>
          <t>-</t>
        </is>
      </c>
      <c r="AK48" s="60" t="inlineStr">
        <is>
          <t>-</t>
        </is>
      </c>
      <c r="AL48" s="60" t="inlineStr">
        <is>
          <t>-</t>
        </is>
      </c>
    </row>
    <row r="49">
      <c r="A49" s="60" t="inlineStr">
        <is>
          <t>Power</t>
        </is>
      </c>
      <c r="B49" s="60" t="inlineStr">
        <is>
          <t>ESI</t>
        </is>
      </c>
      <c r="C49" s="60" t="inlineStr">
        <is>
          <t>WP1</t>
        </is>
      </c>
      <c r="D49" s="60" t="inlineStr">
        <is>
          <t>GREF</t>
        </is>
      </c>
      <c r="E49" s="60" t="inlineStr">
        <is>
          <t>SG GREF v8.14; VT_SG_PWR_GREF</t>
        </is>
      </c>
      <c r="F49" s="60" t="inlineStr">
        <is>
          <t>WP1</t>
        </is>
      </c>
      <c r="G49" s="62" t="inlineStr">
        <is>
          <t>Scenario analysis</t>
        </is>
      </c>
      <c r="H49" s="60" t="inlineStr">
        <is>
          <t>TPASOLLPV00</t>
        </is>
      </c>
      <c r="I49" s="60" t="inlineStr">
        <is>
          <t>Land Solar (MWac) - PSA Port Facilities</t>
        </is>
      </c>
      <c r="J49" s="60" t="inlineStr">
        <is>
          <t>SG</t>
        </is>
      </c>
      <c r="K49" s="61" t="n">
        <v>2020</v>
      </c>
      <c r="L49" s="60" t="n">
        <v>2018</v>
      </c>
      <c r="M49" s="60" t="n">
        <v>25</v>
      </c>
      <c r="N49" s="60" t="inlineStr">
        <is>
          <t>-</t>
        </is>
      </c>
      <c r="O49" s="60" t="n">
        <v>0</v>
      </c>
      <c r="P49" s="60" t="inlineStr">
        <is>
          <t>PJ</t>
        </is>
      </c>
      <c r="Q49" s="60" t="inlineStr">
        <is>
          <t>MSGD2016</t>
        </is>
      </c>
      <c r="R49" s="61" t="n">
        <v>1453.545454545455</v>
      </c>
      <c r="S49" s="60" t="inlineStr">
        <is>
          <t>GW</t>
        </is>
      </c>
      <c r="T49" s="61" t="n">
        <v>26.4752922077922</v>
      </c>
      <c r="U49" s="60" t="inlineStr">
        <is>
          <t>GW*yr(2018)</t>
        </is>
      </c>
      <c r="V49" s="60" t="inlineStr">
        <is>
          <t>-</t>
        </is>
      </c>
      <c r="W49" s="60" t="inlineStr">
        <is>
          <t>-</t>
        </is>
      </c>
      <c r="X49" s="60" t="inlineStr">
        <is>
          <t>-</t>
        </is>
      </c>
      <c r="Y49" s="60" t="inlineStr">
        <is>
          <t>-</t>
        </is>
      </c>
      <c r="Z49" s="60" t="inlineStr">
        <is>
          <t>-</t>
        </is>
      </c>
      <c r="AA49" s="60" t="inlineStr">
        <is>
          <t>-</t>
        </is>
      </c>
      <c r="AB49" s="60" t="inlineStr">
        <is>
          <t>-</t>
        </is>
      </c>
      <c r="AC49" s="60" t="inlineStr">
        <is>
          <t>-</t>
        </is>
      </c>
      <c r="AD49" s="60" t="inlineStr">
        <is>
          <t>-</t>
        </is>
      </c>
      <c r="AE49" s="60" t="inlineStr">
        <is>
          <t>-</t>
        </is>
      </c>
      <c r="AF49" s="60" t="n">
        <v>0.1</v>
      </c>
      <c r="AG49" s="60" t="inlineStr">
        <is>
          <t>-</t>
        </is>
      </c>
      <c r="AH49" s="60" t="inlineStr">
        <is>
          <t>-</t>
        </is>
      </c>
      <c r="AI49" s="60" t="inlineStr">
        <is>
          <t>FX</t>
        </is>
      </c>
      <c r="AJ49" s="60" t="inlineStr">
        <is>
          <t>-</t>
        </is>
      </c>
      <c r="AK49" s="60" t="inlineStr">
        <is>
          <t>-</t>
        </is>
      </c>
      <c r="AL49" s="60" t="inlineStr">
        <is>
          <t>-</t>
        </is>
      </c>
    </row>
    <row r="50">
      <c r="A50" s="60" t="inlineStr">
        <is>
          <t>Power</t>
        </is>
      </c>
      <c r="B50" s="60" t="inlineStr">
        <is>
          <t>ESI</t>
        </is>
      </c>
      <c r="C50" s="60" t="inlineStr">
        <is>
          <t>WP1</t>
        </is>
      </c>
      <c r="D50" s="60" t="inlineStr">
        <is>
          <t>GREF</t>
        </is>
      </c>
      <c r="E50" s="60" t="inlineStr">
        <is>
          <t>SG GREF v8.14; VT_SG_PWR_GREF</t>
        </is>
      </c>
      <c r="F50" s="60" t="inlineStr">
        <is>
          <t>WP1</t>
        </is>
      </c>
      <c r="G50" s="62" t="inlineStr">
        <is>
          <t>Scenario analysis</t>
        </is>
      </c>
      <c r="H50" s="60" t="inlineStr">
        <is>
          <t>TPASOLLPV00</t>
        </is>
      </c>
      <c r="I50" s="60" t="inlineStr">
        <is>
          <t>Land Solar (MWac) - PSA Port Facilities</t>
        </is>
      </c>
      <c r="J50" s="60" t="inlineStr">
        <is>
          <t>SG</t>
        </is>
      </c>
      <c r="K50" s="61" t="n">
        <v>2030</v>
      </c>
      <c r="L50" s="60" t="n">
        <v>2018</v>
      </c>
      <c r="M50" s="60" t="n">
        <v>25</v>
      </c>
      <c r="N50" s="60" t="inlineStr">
        <is>
          <t>-</t>
        </is>
      </c>
      <c r="O50" s="60" t="n">
        <v>0</v>
      </c>
      <c r="P50" s="60" t="inlineStr">
        <is>
          <t>PJ</t>
        </is>
      </c>
      <c r="Q50" s="60" t="inlineStr">
        <is>
          <t>MSGD2016</t>
        </is>
      </c>
      <c r="R50" s="61" t="n">
        <v>993.8097922077922</v>
      </c>
      <c r="S50" s="60" t="inlineStr">
        <is>
          <t>GW</t>
        </is>
      </c>
      <c r="T50" s="61" t="n">
        <v>18.14585380519481</v>
      </c>
      <c r="U50" s="60" t="inlineStr">
        <is>
          <t>GW*yr(2018)</t>
        </is>
      </c>
      <c r="V50" s="60" t="inlineStr">
        <is>
          <t>-</t>
        </is>
      </c>
      <c r="W50" s="60" t="inlineStr">
        <is>
          <t>-</t>
        </is>
      </c>
      <c r="X50" s="60" t="inlineStr">
        <is>
          <t>-</t>
        </is>
      </c>
      <c r="Y50" s="60" t="inlineStr">
        <is>
          <t>-</t>
        </is>
      </c>
      <c r="Z50" s="60" t="inlineStr">
        <is>
          <t>-</t>
        </is>
      </c>
      <c r="AA50" s="60" t="inlineStr">
        <is>
          <t>-</t>
        </is>
      </c>
      <c r="AB50" s="60" t="inlineStr">
        <is>
          <t>-</t>
        </is>
      </c>
      <c r="AC50" s="60" t="inlineStr">
        <is>
          <t>-</t>
        </is>
      </c>
      <c r="AD50" s="60" t="inlineStr">
        <is>
          <t>-</t>
        </is>
      </c>
      <c r="AE50" s="60" t="inlineStr">
        <is>
          <t>-</t>
        </is>
      </c>
      <c r="AF50" s="60" t="n">
        <v>0.1</v>
      </c>
      <c r="AG50" s="60" t="inlineStr">
        <is>
          <t>-</t>
        </is>
      </c>
      <c r="AH50" s="60" t="inlineStr">
        <is>
          <t>-</t>
        </is>
      </c>
      <c r="AI50" s="60" t="inlineStr">
        <is>
          <t>FX</t>
        </is>
      </c>
      <c r="AJ50" s="60" t="inlineStr">
        <is>
          <t>-</t>
        </is>
      </c>
      <c r="AK50" s="60" t="inlineStr">
        <is>
          <t>-</t>
        </is>
      </c>
      <c r="AL50" s="60" t="inlineStr">
        <is>
          <t>-</t>
        </is>
      </c>
    </row>
    <row r="51">
      <c r="A51" s="60" t="inlineStr">
        <is>
          <t>Power</t>
        </is>
      </c>
      <c r="B51" s="60" t="inlineStr">
        <is>
          <t>ESI</t>
        </is>
      </c>
      <c r="C51" s="60" t="inlineStr">
        <is>
          <t>WP1</t>
        </is>
      </c>
      <c r="D51" s="60" t="inlineStr">
        <is>
          <t>GREF</t>
        </is>
      </c>
      <c r="E51" s="60" t="inlineStr">
        <is>
          <t>SG GREF v8.14; VT_SG_PWR_GREF</t>
        </is>
      </c>
      <c r="F51" s="60" t="inlineStr">
        <is>
          <t>WP1</t>
        </is>
      </c>
      <c r="G51" s="62" t="inlineStr">
        <is>
          <t>Scenario analysis</t>
        </is>
      </c>
      <c r="H51" s="60" t="inlineStr">
        <is>
          <t>TPASOLLPV00</t>
        </is>
      </c>
      <c r="I51" s="60" t="inlineStr">
        <is>
          <t>Land Solar (MWac) - PSA Port Facilities</t>
        </is>
      </c>
      <c r="J51" s="60" t="inlineStr">
        <is>
          <t>SG</t>
        </is>
      </c>
      <c r="K51" s="61" t="n">
        <v>2050</v>
      </c>
      <c r="L51" s="60" t="n">
        <v>2018</v>
      </c>
      <c r="M51" s="60" t="n">
        <v>25</v>
      </c>
      <c r="N51" s="60" t="inlineStr">
        <is>
          <t>-</t>
        </is>
      </c>
      <c r="O51" s="60" t="n">
        <v>0</v>
      </c>
      <c r="P51" s="60" t="inlineStr">
        <is>
          <t>PJ</t>
        </is>
      </c>
      <c r="Q51" s="60" t="inlineStr">
        <is>
          <t>MSGD2016</t>
        </is>
      </c>
      <c r="R51" s="61" t="n">
        <v>889.9851168831169</v>
      </c>
      <c r="S51" s="60" t="inlineStr">
        <is>
          <t>GW</t>
        </is>
      </c>
      <c r="T51" s="61" t="n">
        <v>16.25209172727273</v>
      </c>
      <c r="U51" s="60" t="inlineStr">
        <is>
          <t>GW*yr(2018)</t>
        </is>
      </c>
      <c r="V51" s="60" t="inlineStr">
        <is>
          <t>-</t>
        </is>
      </c>
      <c r="W51" s="60" t="inlineStr">
        <is>
          <t>-</t>
        </is>
      </c>
      <c r="X51" s="60" t="inlineStr">
        <is>
          <t>-</t>
        </is>
      </c>
      <c r="Y51" s="60" t="inlineStr">
        <is>
          <t>-</t>
        </is>
      </c>
      <c r="Z51" s="60" t="inlineStr">
        <is>
          <t>-</t>
        </is>
      </c>
      <c r="AA51" s="60" t="inlineStr">
        <is>
          <t>-</t>
        </is>
      </c>
      <c r="AB51" s="60" t="inlineStr">
        <is>
          <t>-</t>
        </is>
      </c>
      <c r="AC51" s="60" t="inlineStr">
        <is>
          <t>-</t>
        </is>
      </c>
      <c r="AD51" s="60" t="inlineStr">
        <is>
          <t>-</t>
        </is>
      </c>
      <c r="AE51" s="60" t="inlineStr">
        <is>
          <t>-</t>
        </is>
      </c>
      <c r="AF51" s="60" t="n">
        <v>0.1</v>
      </c>
      <c r="AG51" s="60" t="inlineStr">
        <is>
          <t>-</t>
        </is>
      </c>
      <c r="AH51" s="60" t="inlineStr">
        <is>
          <t>-</t>
        </is>
      </c>
      <c r="AI51" s="60" t="inlineStr">
        <is>
          <t>FX</t>
        </is>
      </c>
      <c r="AJ51" s="60" t="inlineStr">
        <is>
          <t>-</t>
        </is>
      </c>
      <c r="AK51" s="60" t="inlineStr">
        <is>
          <t>-</t>
        </is>
      </c>
      <c r="AL51" s="60" t="inlineStr">
        <is>
          <t>-</t>
        </is>
      </c>
    </row>
    <row r="52">
      <c r="A52" s="60" t="inlineStr">
        <is>
          <t>Power</t>
        </is>
      </c>
      <c r="B52" s="60" t="inlineStr">
        <is>
          <t>ESI</t>
        </is>
      </c>
      <c r="C52" s="60" t="inlineStr">
        <is>
          <t>WP1</t>
        </is>
      </c>
      <c r="D52" s="60" t="inlineStr">
        <is>
          <t>GREF</t>
        </is>
      </c>
      <c r="E52" s="60" t="inlineStr">
        <is>
          <t>SG GREF v8.14; VT_SG_PWR_GREF</t>
        </is>
      </c>
      <c r="F52" s="60" t="inlineStr">
        <is>
          <t>WP1</t>
        </is>
      </c>
      <c r="G52" s="62" t="inlineStr">
        <is>
          <t>Scenario analysis</t>
        </is>
      </c>
      <c r="H52" s="60" t="inlineStr">
        <is>
          <t>TPJSOLLPV00</t>
        </is>
      </c>
      <c r="I52" s="60" t="inlineStr">
        <is>
          <t>Land Solar (MWac) - JP Port Facilities</t>
        </is>
      </c>
      <c r="J52" s="60" t="inlineStr">
        <is>
          <t>SG</t>
        </is>
      </c>
      <c r="K52" s="63" t="n">
        <v>2018</v>
      </c>
      <c r="L52" s="60" t="n">
        <v>2018</v>
      </c>
      <c r="M52" s="60" t="n">
        <v>25</v>
      </c>
      <c r="N52" s="60" t="inlineStr">
        <is>
          <t>-</t>
        </is>
      </c>
      <c r="O52" s="60" t="n">
        <v>0</v>
      </c>
      <c r="P52" s="60" t="inlineStr">
        <is>
          <t>PJ</t>
        </is>
      </c>
      <c r="Q52" s="60" t="inlineStr">
        <is>
          <t>MSGD2016</t>
        </is>
      </c>
      <c r="R52" s="63" t="n">
        <v>2902.597402597402</v>
      </c>
      <c r="S52" s="60" t="inlineStr">
        <is>
          <t>GW</t>
        </is>
      </c>
      <c r="T52" s="63" t="n">
        <v>25.80519480519481</v>
      </c>
      <c r="U52" s="60" t="inlineStr">
        <is>
          <t>GW*yr(2018)</t>
        </is>
      </c>
      <c r="V52" s="60" t="inlineStr">
        <is>
          <t>-</t>
        </is>
      </c>
      <c r="W52" s="60" t="inlineStr">
        <is>
          <t>-</t>
        </is>
      </c>
      <c r="X52" s="60" t="inlineStr">
        <is>
          <t>-</t>
        </is>
      </c>
      <c r="Y52" s="60" t="inlineStr">
        <is>
          <t>-</t>
        </is>
      </c>
      <c r="Z52" s="60" t="inlineStr">
        <is>
          <t>-</t>
        </is>
      </c>
      <c r="AA52" s="60" t="inlineStr">
        <is>
          <t>-</t>
        </is>
      </c>
      <c r="AB52" s="60" t="inlineStr">
        <is>
          <t>-</t>
        </is>
      </c>
      <c r="AC52" s="60" t="inlineStr">
        <is>
          <t>-</t>
        </is>
      </c>
      <c r="AD52" s="60" t="inlineStr">
        <is>
          <t>-</t>
        </is>
      </c>
      <c r="AE52" s="60" t="inlineStr">
        <is>
          <t>-</t>
        </is>
      </c>
      <c r="AF52" s="60" t="n">
        <v>0.1</v>
      </c>
      <c r="AG52" s="60" t="inlineStr">
        <is>
          <t>-</t>
        </is>
      </c>
      <c r="AH52" s="60" t="inlineStr">
        <is>
          <t>-</t>
        </is>
      </c>
      <c r="AI52" s="60" t="inlineStr">
        <is>
          <t>FX</t>
        </is>
      </c>
      <c r="AJ52" s="60" t="inlineStr">
        <is>
          <t>-</t>
        </is>
      </c>
      <c r="AK52" s="60" t="inlineStr">
        <is>
          <t>-</t>
        </is>
      </c>
      <c r="AL52" s="60" t="inlineStr">
        <is>
          <t>-</t>
        </is>
      </c>
    </row>
    <row r="53">
      <c r="A53" s="60" t="inlineStr">
        <is>
          <t>Power</t>
        </is>
      </c>
      <c r="B53" s="60" t="inlineStr">
        <is>
          <t>ESI</t>
        </is>
      </c>
      <c r="C53" s="60" t="inlineStr">
        <is>
          <t>WP1</t>
        </is>
      </c>
      <c r="D53" s="60" t="inlineStr">
        <is>
          <t>GREF</t>
        </is>
      </c>
      <c r="E53" s="60" t="inlineStr">
        <is>
          <t>SG GREF v8.14; VT_SG_PWR_GREF</t>
        </is>
      </c>
      <c r="F53" s="60" t="inlineStr">
        <is>
          <t>WP1</t>
        </is>
      </c>
      <c r="G53" s="62" t="inlineStr">
        <is>
          <t>Scenario analysis</t>
        </is>
      </c>
      <c r="H53" s="60" t="inlineStr">
        <is>
          <t>TPJSOLLPV00</t>
        </is>
      </c>
      <c r="I53" s="60" t="inlineStr">
        <is>
          <t>Land Solar (MWac) - JP Port Facilities</t>
        </is>
      </c>
      <c r="J53" s="60" t="inlineStr">
        <is>
          <t>SG</t>
        </is>
      </c>
      <c r="K53" s="63" t="n">
        <v>2020</v>
      </c>
      <c r="L53" s="60" t="n">
        <v>2018</v>
      </c>
      <c r="M53" s="60" t="n">
        <v>25</v>
      </c>
      <c r="N53" s="60" t="inlineStr">
        <is>
          <t>-</t>
        </is>
      </c>
      <c r="O53" s="60" t="n">
        <v>0</v>
      </c>
      <c r="P53" s="60" t="inlineStr">
        <is>
          <t>PJ</t>
        </is>
      </c>
      <c r="Q53" s="60" t="inlineStr">
        <is>
          <t>MSGD2016</t>
        </is>
      </c>
      <c r="R53" s="63" t="n">
        <v>1453.545454545455</v>
      </c>
      <c r="S53" s="60" t="inlineStr">
        <is>
          <t>GW</t>
        </is>
      </c>
      <c r="T53" s="63" t="n">
        <v>26.4752922077922</v>
      </c>
      <c r="U53" s="60" t="inlineStr">
        <is>
          <t>GW*yr(2018)</t>
        </is>
      </c>
      <c r="V53" s="60" t="inlineStr">
        <is>
          <t>-</t>
        </is>
      </c>
      <c r="W53" s="60" t="inlineStr">
        <is>
          <t>-</t>
        </is>
      </c>
      <c r="X53" s="60" t="inlineStr">
        <is>
          <t>-</t>
        </is>
      </c>
      <c r="Y53" s="60" t="inlineStr">
        <is>
          <t>-</t>
        </is>
      </c>
      <c r="Z53" s="60" t="inlineStr">
        <is>
          <t>-</t>
        </is>
      </c>
      <c r="AA53" s="60" t="inlineStr">
        <is>
          <t>-</t>
        </is>
      </c>
      <c r="AB53" s="60" t="inlineStr">
        <is>
          <t>-</t>
        </is>
      </c>
      <c r="AC53" s="60" t="inlineStr">
        <is>
          <t>-</t>
        </is>
      </c>
      <c r="AD53" s="60" t="inlineStr">
        <is>
          <t>-</t>
        </is>
      </c>
      <c r="AE53" s="60" t="inlineStr">
        <is>
          <t>-</t>
        </is>
      </c>
      <c r="AF53" s="60" t="n">
        <v>0.1</v>
      </c>
      <c r="AG53" s="60" t="inlineStr">
        <is>
          <t>-</t>
        </is>
      </c>
      <c r="AH53" s="60" t="inlineStr">
        <is>
          <t>-</t>
        </is>
      </c>
      <c r="AI53" s="60" t="inlineStr">
        <is>
          <t>FX</t>
        </is>
      </c>
      <c r="AJ53" s="60" t="inlineStr">
        <is>
          <t>-</t>
        </is>
      </c>
      <c r="AK53" s="60" t="inlineStr">
        <is>
          <t>-</t>
        </is>
      </c>
      <c r="AL53" s="60" t="inlineStr">
        <is>
          <t>-</t>
        </is>
      </c>
    </row>
    <row r="54">
      <c r="A54" s="60" t="inlineStr">
        <is>
          <t>Power</t>
        </is>
      </c>
      <c r="B54" s="60" t="inlineStr">
        <is>
          <t>ESI</t>
        </is>
      </c>
      <c r="C54" s="60" t="inlineStr">
        <is>
          <t>WP1</t>
        </is>
      </c>
      <c r="D54" s="60" t="inlineStr">
        <is>
          <t>GREF</t>
        </is>
      </c>
      <c r="E54" s="60" t="inlineStr">
        <is>
          <t>SG GREF v8.14; VT_SG_PWR_GREF</t>
        </is>
      </c>
      <c r="F54" s="60" t="inlineStr">
        <is>
          <t>WP1</t>
        </is>
      </c>
      <c r="G54" s="62" t="inlineStr">
        <is>
          <t>Scenario analysis</t>
        </is>
      </c>
      <c r="H54" s="60" t="inlineStr">
        <is>
          <t>TPJSOLLPV00</t>
        </is>
      </c>
      <c r="I54" s="60" t="inlineStr">
        <is>
          <t>Land Solar (MWac) - JP Port Facilities</t>
        </is>
      </c>
      <c r="J54" s="60" t="inlineStr">
        <is>
          <t>SG</t>
        </is>
      </c>
      <c r="K54" s="63" t="n">
        <v>2030</v>
      </c>
      <c r="L54" s="60" t="n">
        <v>2018</v>
      </c>
      <c r="M54" s="60" t="n">
        <v>25</v>
      </c>
      <c r="N54" s="60" t="inlineStr">
        <is>
          <t>-</t>
        </is>
      </c>
      <c r="O54" s="60" t="n">
        <v>0</v>
      </c>
      <c r="P54" s="60" t="inlineStr">
        <is>
          <t>PJ</t>
        </is>
      </c>
      <c r="Q54" s="60" t="inlineStr">
        <is>
          <t>MSGD2016</t>
        </is>
      </c>
      <c r="R54" s="63" t="n">
        <v>993.8097922077922</v>
      </c>
      <c r="S54" s="60" t="inlineStr">
        <is>
          <t>GW</t>
        </is>
      </c>
      <c r="T54" s="63" t="n">
        <v>18.14585380519481</v>
      </c>
      <c r="U54" s="60" t="inlineStr">
        <is>
          <t>GW*yr(2018)</t>
        </is>
      </c>
      <c r="V54" s="60" t="inlineStr">
        <is>
          <t>-</t>
        </is>
      </c>
      <c r="W54" s="60" t="inlineStr">
        <is>
          <t>-</t>
        </is>
      </c>
      <c r="X54" s="60" t="inlineStr">
        <is>
          <t>-</t>
        </is>
      </c>
      <c r="Y54" s="60" t="inlineStr">
        <is>
          <t>-</t>
        </is>
      </c>
      <c r="Z54" s="60" t="inlineStr">
        <is>
          <t>-</t>
        </is>
      </c>
      <c r="AA54" s="60" t="inlineStr">
        <is>
          <t>-</t>
        </is>
      </c>
      <c r="AB54" s="60" t="inlineStr">
        <is>
          <t>-</t>
        </is>
      </c>
      <c r="AC54" s="60" t="inlineStr">
        <is>
          <t>-</t>
        </is>
      </c>
      <c r="AD54" s="60" t="inlineStr">
        <is>
          <t>-</t>
        </is>
      </c>
      <c r="AE54" s="60" t="inlineStr">
        <is>
          <t>-</t>
        </is>
      </c>
      <c r="AF54" s="60" t="n">
        <v>0.1</v>
      </c>
      <c r="AG54" s="60" t="inlineStr">
        <is>
          <t>-</t>
        </is>
      </c>
      <c r="AH54" s="60" t="inlineStr">
        <is>
          <t>-</t>
        </is>
      </c>
      <c r="AI54" s="60" t="inlineStr">
        <is>
          <t>FX</t>
        </is>
      </c>
      <c r="AJ54" s="60" t="inlineStr">
        <is>
          <t>-</t>
        </is>
      </c>
      <c r="AK54" s="60" t="inlineStr">
        <is>
          <t>-</t>
        </is>
      </c>
      <c r="AL54" s="60" t="inlineStr">
        <is>
          <t>-</t>
        </is>
      </c>
    </row>
    <row r="55">
      <c r="A55" s="60" t="inlineStr">
        <is>
          <t>Power</t>
        </is>
      </c>
      <c r="B55" s="60" t="inlineStr">
        <is>
          <t>ESI</t>
        </is>
      </c>
      <c r="C55" s="60" t="inlineStr">
        <is>
          <t>WP1</t>
        </is>
      </c>
      <c r="D55" s="60" t="inlineStr">
        <is>
          <t>GREF</t>
        </is>
      </c>
      <c r="E55" s="60" t="inlineStr">
        <is>
          <t>SG GREF v8.14; VT_SG_PWR_GREF</t>
        </is>
      </c>
      <c r="F55" s="60" t="inlineStr">
        <is>
          <t>WP1</t>
        </is>
      </c>
      <c r="G55" s="62" t="inlineStr">
        <is>
          <t>Scenario analysis</t>
        </is>
      </c>
      <c r="H55" s="60" t="inlineStr">
        <is>
          <t>TPJSOLLPV00</t>
        </is>
      </c>
      <c r="I55" s="60" t="inlineStr">
        <is>
          <t>Land Solar (MWac) - JP Port Facilities</t>
        </is>
      </c>
      <c r="J55" s="60" t="inlineStr">
        <is>
          <t>SG</t>
        </is>
      </c>
      <c r="K55" s="63" t="n">
        <v>2050</v>
      </c>
      <c r="L55" s="60" t="n">
        <v>2018</v>
      </c>
      <c r="M55" s="60" t="n">
        <v>25</v>
      </c>
      <c r="N55" s="60" t="inlineStr">
        <is>
          <t>-</t>
        </is>
      </c>
      <c r="O55" s="60" t="n">
        <v>0</v>
      </c>
      <c r="P55" s="60" t="inlineStr">
        <is>
          <t>PJ</t>
        </is>
      </c>
      <c r="Q55" s="60" t="inlineStr">
        <is>
          <t>MSGD2016</t>
        </is>
      </c>
      <c r="R55" s="63" t="n">
        <v>889.9851168831169</v>
      </c>
      <c r="S55" s="60" t="inlineStr">
        <is>
          <t>GW</t>
        </is>
      </c>
      <c r="T55" s="63" t="n">
        <v>16.25209172727273</v>
      </c>
      <c r="U55" s="60" t="inlineStr">
        <is>
          <t>GW*yr(2018)</t>
        </is>
      </c>
      <c r="V55" s="60" t="inlineStr">
        <is>
          <t>-</t>
        </is>
      </c>
      <c r="W55" s="60" t="inlineStr">
        <is>
          <t>-</t>
        </is>
      </c>
      <c r="X55" s="60" t="inlineStr">
        <is>
          <t>-</t>
        </is>
      </c>
      <c r="Y55" s="60" t="inlineStr">
        <is>
          <t>-</t>
        </is>
      </c>
      <c r="Z55" s="60" t="inlineStr">
        <is>
          <t>-</t>
        </is>
      </c>
      <c r="AA55" s="60" t="inlineStr">
        <is>
          <t>-</t>
        </is>
      </c>
      <c r="AB55" s="60" t="inlineStr">
        <is>
          <t>-</t>
        </is>
      </c>
      <c r="AC55" s="60" t="inlineStr">
        <is>
          <t>-</t>
        </is>
      </c>
      <c r="AD55" s="60" t="inlineStr">
        <is>
          <t>-</t>
        </is>
      </c>
      <c r="AE55" s="60" t="inlineStr">
        <is>
          <t>-</t>
        </is>
      </c>
      <c r="AF55" s="60" t="n">
        <v>0.1</v>
      </c>
      <c r="AG55" s="60" t="inlineStr">
        <is>
          <t>-</t>
        </is>
      </c>
      <c r="AH55" s="60" t="inlineStr">
        <is>
          <t>-</t>
        </is>
      </c>
      <c r="AI55" s="60" t="inlineStr">
        <is>
          <t>FX</t>
        </is>
      </c>
      <c r="AJ55" s="60" t="inlineStr">
        <is>
          <t>-</t>
        </is>
      </c>
      <c r="AK55" s="60" t="inlineStr">
        <is>
          <t>-</t>
        </is>
      </c>
      <c r="AL55" s="60" t="inlineStr">
        <is>
          <t>-</t>
        </is>
      </c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D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9" bestFit="1" customWidth="1" min="26" max="26"/>
    <col width="9" customWidth="1" min="27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Existing capacity (PJ)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Industry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VT_SG_IND_GREF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IRFELECAE00</t>
        </is>
      </c>
      <c r="I10" t="inlineStr">
        <is>
          <t>Refinery Compressed Air System Standard Electricity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inlineStr">
        <is>
          <t>NA</t>
        </is>
      </c>
      <c r="P10" t="inlineStr">
        <is>
          <t>PJ</t>
        </is>
      </c>
      <c r="Q10" t="inlineStr">
        <is>
          <t>MSGD2016</t>
        </is>
      </c>
      <c r="R10" t="n">
        <v>63.4195839675292</v>
      </c>
      <c r="S10" t="inlineStr">
        <is>
          <t>PJ</t>
        </is>
      </c>
      <c r="T10" t="n">
        <v>1.10273619727157</v>
      </c>
      <c r="U10" t="inlineStr">
        <is>
          <t>PJ*yr(2018)</t>
        </is>
      </c>
      <c r="V10" t="n">
        <v>0</v>
      </c>
      <c r="W10" t="inlineStr">
        <is>
          <t>PJ (2018)</t>
        </is>
      </c>
      <c r="Z10" t="n">
        <v>0.7</v>
      </c>
      <c r="AB10" t="n">
        <v>1</v>
      </c>
      <c r="AC10" t="inlineStr">
        <is>
          <t>IRFELE</t>
        </is>
      </c>
      <c r="AD10" s="27" t="n">
        <v>16.1041579314507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0.67424888427398</v>
      </c>
      <c r="AI10" t="inlineStr">
        <is>
          <t>NA</t>
        </is>
      </c>
    </row>
    <row r="11" customFormat="1" s="26">
      <c r="A11" t="inlineStr">
        <is>
          <t>Industry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VT_SG_IND_GREF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IRFELECAE00</t>
        </is>
      </c>
      <c r="I11" t="inlineStr">
        <is>
          <t>Refinery Compressed Air System Standard Electricity</t>
        </is>
      </c>
      <c r="J11" t="inlineStr">
        <is>
          <t>SG</t>
        </is>
      </c>
      <c r="K11" s="27" t="n">
        <v>2020</v>
      </c>
      <c r="L11" t="n">
        <v>2018</v>
      </c>
      <c r="M11" t="n">
        <v>15</v>
      </c>
      <c r="O11" t="inlineStr">
        <is>
          <t>NA</t>
        </is>
      </c>
      <c r="P11" t="inlineStr">
        <is>
          <t>PJ</t>
        </is>
      </c>
      <c r="Q11" t="inlineStr">
        <is>
          <t>MSGD2016</t>
        </is>
      </c>
      <c r="R11" t="n">
        <v>63.4195839675292</v>
      </c>
      <c r="S11" t="inlineStr">
        <is>
          <t>PJ</t>
        </is>
      </c>
      <c r="T11" t="n">
        <v>1.10273619727157</v>
      </c>
      <c r="U11" t="inlineStr">
        <is>
          <t>PJ*yr(2018)</t>
        </is>
      </c>
      <c r="V11" t="n">
        <v>0</v>
      </c>
      <c r="W11" t="inlineStr">
        <is>
          <t>PJ (2018)</t>
        </is>
      </c>
      <c r="Z11" t="n">
        <v>0.7</v>
      </c>
      <c r="AB11" t="n">
        <v>1</v>
      </c>
      <c r="AC11" t="inlineStr">
        <is>
          <t>IRFELE</t>
        </is>
      </c>
      <c r="AD11" s="27" t="n">
        <v>15.8669111632723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0.67424888427398</v>
      </c>
      <c r="AI11" t="inlineStr">
        <is>
          <t>NA</t>
        </is>
      </c>
    </row>
    <row r="12" customFormat="1" s="26">
      <c r="A12" t="inlineStr">
        <is>
          <t>Industry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VT_SG_IND_GREF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IRFELECAE00</t>
        </is>
      </c>
      <c r="I12" t="inlineStr">
        <is>
          <t>Refinery Compressed Air System Standard Electricity</t>
        </is>
      </c>
      <c r="J12" t="inlineStr">
        <is>
          <t>SG</t>
        </is>
      </c>
      <c r="K12" s="27" t="n">
        <v>2022</v>
      </c>
      <c r="L12" t="n">
        <v>2018</v>
      </c>
      <c r="M12" t="n">
        <v>15</v>
      </c>
      <c r="O12" t="inlineStr">
        <is>
          <t>NA</t>
        </is>
      </c>
      <c r="P12" t="inlineStr">
        <is>
          <t>PJ</t>
        </is>
      </c>
      <c r="Q12" t="inlineStr">
        <is>
          <t>MSGD2016</t>
        </is>
      </c>
      <c r="R12" t="n">
        <v>63.4195839675292</v>
      </c>
      <c r="S12" t="inlineStr">
        <is>
          <t>PJ</t>
        </is>
      </c>
      <c r="T12" t="n">
        <v>1.10273619727157</v>
      </c>
      <c r="U12" t="inlineStr">
        <is>
          <t>PJ*yr(2018)</t>
        </is>
      </c>
      <c r="V12" t="n">
        <v>0</v>
      </c>
      <c r="W12" t="inlineStr">
        <is>
          <t>PJ (2018)</t>
        </is>
      </c>
      <c r="Z12" t="n">
        <v>0.7</v>
      </c>
      <c r="AB12" t="n">
        <v>1</v>
      </c>
      <c r="AC12" t="inlineStr">
        <is>
          <t>IRFELE</t>
        </is>
      </c>
      <c r="AD12" s="27" t="n">
        <v>21.8304184808725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0.67424888427398</v>
      </c>
      <c r="AI12" t="inlineStr">
        <is>
          <t>NA</t>
        </is>
      </c>
    </row>
    <row r="13" customFormat="1" s="26">
      <c r="A13" t="inlineStr">
        <is>
          <t>Industry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VT_SG_IND_GREF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IRFELECAE00</t>
        </is>
      </c>
      <c r="I13" t="inlineStr">
        <is>
          <t>Refinery Compressed Air System Standard Electricity</t>
        </is>
      </c>
      <c r="J13" t="inlineStr">
        <is>
          <t>SG</t>
        </is>
      </c>
      <c r="K13" s="27" t="n">
        <v>2024</v>
      </c>
      <c r="L13" t="n">
        <v>2018</v>
      </c>
      <c r="M13" t="n">
        <v>15</v>
      </c>
      <c r="O13" t="inlineStr">
        <is>
          <t>NA</t>
        </is>
      </c>
      <c r="P13" t="inlineStr">
        <is>
          <t>PJ</t>
        </is>
      </c>
      <c r="Q13" t="inlineStr">
        <is>
          <t>MSGD2016</t>
        </is>
      </c>
      <c r="R13" t="n">
        <v>63.4195839675292</v>
      </c>
      <c r="S13" t="inlineStr">
        <is>
          <t>PJ</t>
        </is>
      </c>
      <c r="T13" t="n">
        <v>1.10273619727157</v>
      </c>
      <c r="U13" t="inlineStr">
        <is>
          <t>PJ*yr(2018)</t>
        </is>
      </c>
      <c r="V13" t="n">
        <v>0</v>
      </c>
      <c r="W13" t="inlineStr">
        <is>
          <t>PJ (2018)</t>
        </is>
      </c>
      <c r="Z13" t="n">
        <v>0.7</v>
      </c>
      <c r="AB13" t="n">
        <v>1</v>
      </c>
      <c r="AC13" t="inlineStr">
        <is>
          <t>IRFELE</t>
        </is>
      </c>
      <c r="AD13" s="27" t="n">
        <v>27.7939257984727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0.67424888427398</v>
      </c>
      <c r="AI13" t="inlineStr">
        <is>
          <t>NA</t>
        </is>
      </c>
    </row>
    <row r="14" customFormat="1" s="26">
      <c r="A14" t="inlineStr">
        <is>
          <t>Industry</t>
        </is>
      </c>
      <c r="B14" t="inlineStr">
        <is>
          <t>ESI</t>
        </is>
      </c>
      <c r="C14" t="inlineStr">
        <is>
          <t>WP1</t>
        </is>
      </c>
      <c r="D14" t="inlineStr">
        <is>
          <t>GREF</t>
        </is>
      </c>
      <c r="E14" t="inlineStr">
        <is>
          <t>SG GREF v8.14; VT_SG_IND_GREF</t>
        </is>
      </c>
      <c r="F14" t="inlineStr">
        <is>
          <t>WP1</t>
        </is>
      </c>
      <c r="G14" t="inlineStr">
        <is>
          <t>Scenario analysis</t>
        </is>
      </c>
      <c r="H14" t="inlineStr">
        <is>
          <t>IRFELECAE00</t>
        </is>
      </c>
      <c r="I14" t="inlineStr">
        <is>
          <t>Refinery Compressed Air System Standard Electricity</t>
        </is>
      </c>
      <c r="J14" t="inlineStr">
        <is>
          <t>SG</t>
        </is>
      </c>
      <c r="K14" s="27" t="n">
        <v>2026</v>
      </c>
      <c r="L14" t="n">
        <v>2018</v>
      </c>
      <c r="M14" t="n">
        <v>15</v>
      </c>
      <c r="O14" t="inlineStr">
        <is>
          <t>NA</t>
        </is>
      </c>
      <c r="P14" t="inlineStr">
        <is>
          <t>PJ</t>
        </is>
      </c>
      <c r="Q14" t="inlineStr">
        <is>
          <t>MSGD2016</t>
        </is>
      </c>
      <c r="R14" t="n">
        <v>63.4195839675292</v>
      </c>
      <c r="S14" t="inlineStr">
        <is>
          <t>PJ</t>
        </is>
      </c>
      <c r="T14" t="n">
        <v>1.10273619727157</v>
      </c>
      <c r="U14" t="inlineStr">
        <is>
          <t>PJ*yr(2018)</t>
        </is>
      </c>
      <c r="V14" t="n">
        <v>0</v>
      </c>
      <c r="W14" t="inlineStr">
        <is>
          <t>PJ (2018)</t>
        </is>
      </c>
      <c r="Z14" t="n">
        <v>0.7</v>
      </c>
      <c r="AB14" t="n">
        <v>1</v>
      </c>
      <c r="AC14" t="inlineStr">
        <is>
          <t>IRFELE</t>
        </is>
      </c>
      <c r="AD14" s="27" t="n">
        <v>33.7574331160729</v>
      </c>
      <c r="AE14" t="inlineStr">
        <is>
          <t>NA</t>
        </is>
      </c>
      <c r="AF14" t="n">
        <v>1</v>
      </c>
      <c r="AG14" t="inlineStr">
        <is>
          <t>NA</t>
        </is>
      </c>
      <c r="AH14" t="n">
        <v>0.67424888427398</v>
      </c>
      <c r="AI14" t="inlineStr">
        <is>
          <t>NA</t>
        </is>
      </c>
    </row>
    <row r="15" customFormat="1" s="26">
      <c r="A15" t="inlineStr">
        <is>
          <t>Industry</t>
        </is>
      </c>
      <c r="B15" t="inlineStr">
        <is>
          <t>ESI</t>
        </is>
      </c>
      <c r="C15" t="inlineStr">
        <is>
          <t>WP1</t>
        </is>
      </c>
      <c r="D15" t="inlineStr">
        <is>
          <t>GREF</t>
        </is>
      </c>
      <c r="E15" t="inlineStr">
        <is>
          <t>SG GREF v8.14; VT_SG_IND_GREF</t>
        </is>
      </c>
      <c r="F15" t="inlineStr">
        <is>
          <t>WP1</t>
        </is>
      </c>
      <c r="G15" t="inlineStr">
        <is>
          <t>Scenario analysis</t>
        </is>
      </c>
      <c r="H15" t="inlineStr">
        <is>
          <t>IRFELECAE00</t>
        </is>
      </c>
      <c r="I15" t="inlineStr">
        <is>
          <t>Refinery Compressed Air System Standard Electricity</t>
        </is>
      </c>
      <c r="J15" t="inlineStr">
        <is>
          <t>SG</t>
        </is>
      </c>
      <c r="K15" s="27" t="n">
        <v>2028</v>
      </c>
      <c r="L15" t="n">
        <v>2018</v>
      </c>
      <c r="M15" t="n">
        <v>15</v>
      </c>
      <c r="O15" t="inlineStr">
        <is>
          <t>NA</t>
        </is>
      </c>
      <c r="P15" t="inlineStr">
        <is>
          <t>PJ</t>
        </is>
      </c>
      <c r="Q15" t="inlineStr">
        <is>
          <t>MSGD2016</t>
        </is>
      </c>
      <c r="R15" t="n">
        <v>63.4195839675292</v>
      </c>
      <c r="S15" t="inlineStr">
        <is>
          <t>PJ</t>
        </is>
      </c>
      <c r="T15" t="n">
        <v>1.10273619727157</v>
      </c>
      <c r="U15" t="inlineStr">
        <is>
          <t>PJ*yr(2018)</t>
        </is>
      </c>
      <c r="V15" t="n">
        <v>0</v>
      </c>
      <c r="W15" t="inlineStr">
        <is>
          <t>PJ (2018)</t>
        </is>
      </c>
      <c r="Z15" t="n">
        <v>0.7</v>
      </c>
      <c r="AB15" t="n">
        <v>1</v>
      </c>
      <c r="AC15" t="inlineStr">
        <is>
          <t>IRFELE</t>
        </is>
      </c>
      <c r="AD15" s="27" t="n">
        <v>39.7209404336731</v>
      </c>
      <c r="AE15" t="inlineStr">
        <is>
          <t>NA</t>
        </is>
      </c>
      <c r="AF15" t="n">
        <v>1</v>
      </c>
      <c r="AG15" t="inlineStr">
        <is>
          <t>NA</t>
        </is>
      </c>
      <c r="AH15" t="n">
        <v>0.67424888427398</v>
      </c>
      <c r="AI15" t="inlineStr">
        <is>
          <t>NA</t>
        </is>
      </c>
    </row>
    <row r="16" customFormat="1" s="26">
      <c r="A16" t="inlineStr">
        <is>
          <t>Industry</t>
        </is>
      </c>
      <c r="B16" t="inlineStr">
        <is>
          <t>ESI</t>
        </is>
      </c>
      <c r="C16" t="inlineStr">
        <is>
          <t>WP1</t>
        </is>
      </c>
      <c r="D16" t="inlineStr">
        <is>
          <t>GREF</t>
        </is>
      </c>
      <c r="E16" t="inlineStr">
        <is>
          <t>SG GREF v8.14; VT_SG_IND_GREF</t>
        </is>
      </c>
      <c r="F16" t="inlineStr">
        <is>
          <t>WP1</t>
        </is>
      </c>
      <c r="G16" t="inlineStr">
        <is>
          <t>Scenario analysis</t>
        </is>
      </c>
      <c r="H16" t="inlineStr">
        <is>
          <t>IRFELECAE00</t>
        </is>
      </c>
      <c r="I16" t="inlineStr">
        <is>
          <t>Refinery Compressed Air System Standard Electricity</t>
        </is>
      </c>
      <c r="J16" t="inlineStr">
        <is>
          <t>SG</t>
        </is>
      </c>
      <c r="K16" s="27" t="n">
        <v>2030</v>
      </c>
      <c r="L16" t="n">
        <v>2018</v>
      </c>
      <c r="M16" t="n">
        <v>15</v>
      </c>
      <c r="O16" t="inlineStr">
        <is>
          <t>NA</t>
        </is>
      </c>
      <c r="P16" t="inlineStr">
        <is>
          <t>PJ</t>
        </is>
      </c>
      <c r="Q16" t="inlineStr">
        <is>
          <t>MSGD2016</t>
        </is>
      </c>
      <c r="R16" t="n">
        <v>63.4195839675292</v>
      </c>
      <c r="S16" t="inlineStr">
        <is>
          <t>PJ</t>
        </is>
      </c>
      <c r="T16" t="n">
        <v>1.10273619727157</v>
      </c>
      <c r="U16" t="inlineStr">
        <is>
          <t>PJ*yr(2018)</t>
        </is>
      </c>
      <c r="V16" t="n">
        <v>0</v>
      </c>
      <c r="W16" t="inlineStr">
        <is>
          <t>PJ (2018)</t>
        </is>
      </c>
      <c r="Z16" t="n">
        <v>0.7</v>
      </c>
      <c r="AB16" t="n">
        <v>1</v>
      </c>
      <c r="AC16" t="inlineStr">
        <is>
          <t>IRFELE</t>
        </is>
      </c>
      <c r="AD16" s="27" t="n">
        <v>45.6844477512733</v>
      </c>
      <c r="AE16" t="inlineStr">
        <is>
          <t>NA</t>
        </is>
      </c>
      <c r="AF16" t="n">
        <v>1</v>
      </c>
      <c r="AG16" t="inlineStr">
        <is>
          <t>NA</t>
        </is>
      </c>
      <c r="AH16" t="n">
        <v>0.67424888427398</v>
      </c>
      <c r="AI16" t="inlineStr">
        <is>
          <t>NA</t>
        </is>
      </c>
    </row>
    <row r="17" customFormat="1" s="26">
      <c r="A17" t="inlineStr">
        <is>
          <t>Industry</t>
        </is>
      </c>
      <c r="B17" t="inlineStr">
        <is>
          <t>ESI</t>
        </is>
      </c>
      <c r="C17" t="inlineStr">
        <is>
          <t>WP1</t>
        </is>
      </c>
      <c r="D17" t="inlineStr">
        <is>
          <t>GREF</t>
        </is>
      </c>
      <c r="E17" t="inlineStr">
        <is>
          <t>SG GREF v8.14; VT_SG_IND_GREF</t>
        </is>
      </c>
      <c r="F17" t="inlineStr">
        <is>
          <t>WP1</t>
        </is>
      </c>
      <c r="G17" t="inlineStr">
        <is>
          <t>Scenario analysis</t>
        </is>
      </c>
      <c r="H17" t="inlineStr">
        <is>
          <t>IRFELECAE00</t>
        </is>
      </c>
      <c r="I17" t="inlineStr">
        <is>
          <t>Refinery Compressed Air System Standard Electricity</t>
        </is>
      </c>
      <c r="J17" t="inlineStr">
        <is>
          <t>SG</t>
        </is>
      </c>
      <c r="K17" s="27" t="n">
        <v>2042</v>
      </c>
      <c r="L17" t="n">
        <v>2018</v>
      </c>
      <c r="M17" t="n">
        <v>15</v>
      </c>
      <c r="O17" t="inlineStr">
        <is>
          <t>NA</t>
        </is>
      </c>
      <c r="P17" t="inlineStr">
        <is>
          <t>PJ</t>
        </is>
      </c>
      <c r="Q17" t="inlineStr">
        <is>
          <t>MSGD2016</t>
        </is>
      </c>
      <c r="R17" t="n">
        <v>63.4195839675292</v>
      </c>
      <c r="S17" t="inlineStr">
        <is>
          <t>PJ</t>
        </is>
      </c>
      <c r="T17" t="n">
        <v>1.10273619727157</v>
      </c>
      <c r="U17" t="inlineStr">
        <is>
          <t>PJ*yr(2018)</t>
        </is>
      </c>
      <c r="V17" t="n">
        <v>0</v>
      </c>
      <c r="W17" t="inlineStr">
        <is>
          <t>PJ (2018)</t>
        </is>
      </c>
      <c r="Z17" t="n">
        <v>0.7</v>
      </c>
      <c r="AB17" t="n">
        <v>1</v>
      </c>
      <c r="AC17" t="inlineStr">
        <is>
          <t>IRFELE</t>
        </is>
      </c>
      <c r="AD17" s="27" t="n">
        <v>45.0728553477455</v>
      </c>
      <c r="AE17" t="inlineStr">
        <is>
          <t>NA</t>
        </is>
      </c>
      <c r="AF17" t="n">
        <v>1</v>
      </c>
      <c r="AG17" t="inlineStr">
        <is>
          <t>NA</t>
        </is>
      </c>
      <c r="AH17" t="n">
        <v>0.67424888427398</v>
      </c>
      <c r="AI17" t="inlineStr">
        <is>
          <t>NA</t>
        </is>
      </c>
    </row>
    <row r="18" customFormat="1" s="26">
      <c r="A18" t="inlineStr">
        <is>
          <t>Industry</t>
        </is>
      </c>
      <c r="B18" t="inlineStr">
        <is>
          <t>ESI</t>
        </is>
      </c>
      <c r="C18" t="inlineStr">
        <is>
          <t>WP1</t>
        </is>
      </c>
      <c r="D18" t="inlineStr">
        <is>
          <t>GREF</t>
        </is>
      </c>
      <c r="E18" t="inlineStr">
        <is>
          <t>SG GREF v8.14; VT_SG_IND_GREF</t>
        </is>
      </c>
      <c r="F18" t="inlineStr">
        <is>
          <t>WP1</t>
        </is>
      </c>
      <c r="G18" t="inlineStr">
        <is>
          <t>Scenario analysis</t>
        </is>
      </c>
      <c r="H18" t="inlineStr">
        <is>
          <t>IRFELECAE00</t>
        </is>
      </c>
      <c r="I18" t="inlineStr">
        <is>
          <t>Refinery Compressed Air System Standard Electricity</t>
        </is>
      </c>
      <c r="J18" t="inlineStr">
        <is>
          <t>SG</t>
        </is>
      </c>
      <c r="K18" s="27" t="n">
        <v>2044</v>
      </c>
      <c r="L18" t="n">
        <v>2018</v>
      </c>
      <c r="M18" t="n">
        <v>15</v>
      </c>
      <c r="O18" t="inlineStr">
        <is>
          <t>NA</t>
        </is>
      </c>
      <c r="P18" t="inlineStr">
        <is>
          <t>PJ</t>
        </is>
      </c>
      <c r="Q18" t="inlineStr">
        <is>
          <t>MSGD2016</t>
        </is>
      </c>
      <c r="R18" t="n">
        <v>63.4195839675292</v>
      </c>
      <c r="S18" t="inlineStr">
        <is>
          <t>PJ</t>
        </is>
      </c>
      <c r="T18" t="n">
        <v>1.10273619727157</v>
      </c>
      <c r="U18" t="inlineStr">
        <is>
          <t>PJ*yr(2018)</t>
        </is>
      </c>
      <c r="V18" t="n">
        <v>0</v>
      </c>
      <c r="W18" t="inlineStr">
        <is>
          <t>PJ (2018)</t>
        </is>
      </c>
      <c r="Z18" t="n">
        <v>0.7</v>
      </c>
      <c r="AB18" t="n">
        <v>1</v>
      </c>
      <c r="AC18" t="inlineStr">
        <is>
          <t>IRFELE</t>
        </is>
      </c>
      <c r="AD18" s="27" t="n">
        <v>44.4612629442177</v>
      </c>
      <c r="AE18" t="inlineStr">
        <is>
          <t>NA</t>
        </is>
      </c>
      <c r="AF18" t="n">
        <v>1</v>
      </c>
      <c r="AG18" t="inlineStr">
        <is>
          <t>NA</t>
        </is>
      </c>
      <c r="AH18" t="n">
        <v>0.67424888427398</v>
      </c>
      <c r="AI18" t="inlineStr">
        <is>
          <t>NA</t>
        </is>
      </c>
    </row>
    <row r="19" customFormat="1" s="26">
      <c r="A19" t="inlineStr">
        <is>
          <t>Industry</t>
        </is>
      </c>
      <c r="B19" t="inlineStr">
        <is>
          <t>ESI</t>
        </is>
      </c>
      <c r="C19" t="inlineStr">
        <is>
          <t>WP1</t>
        </is>
      </c>
      <c r="D19" t="inlineStr">
        <is>
          <t>GREF</t>
        </is>
      </c>
      <c r="E19" t="inlineStr">
        <is>
          <t>SG GREF v8.14; VT_SG_IND_GREF</t>
        </is>
      </c>
      <c r="F19" t="inlineStr">
        <is>
          <t>WP1</t>
        </is>
      </c>
      <c r="G19" t="inlineStr">
        <is>
          <t>Scenario analysis</t>
        </is>
      </c>
      <c r="H19" t="inlineStr">
        <is>
          <t>IRFELECAE00</t>
        </is>
      </c>
      <c r="I19" t="inlineStr">
        <is>
          <t>Refinery Compressed Air System Standard Electricity</t>
        </is>
      </c>
      <c r="J19" t="inlineStr">
        <is>
          <t>SG</t>
        </is>
      </c>
      <c r="K19" s="27" t="n">
        <v>2046</v>
      </c>
      <c r="L19" t="n">
        <v>2018</v>
      </c>
      <c r="M19" t="n">
        <v>15</v>
      </c>
      <c r="O19" t="inlineStr">
        <is>
          <t>NA</t>
        </is>
      </c>
      <c r="P19" t="inlineStr">
        <is>
          <t>PJ</t>
        </is>
      </c>
      <c r="Q19" t="inlineStr">
        <is>
          <t>MSGD2016</t>
        </is>
      </c>
      <c r="R19" t="n">
        <v>63.4195839675292</v>
      </c>
      <c r="S19" t="inlineStr">
        <is>
          <t>PJ</t>
        </is>
      </c>
      <c r="T19" t="n">
        <v>1.10273619727157</v>
      </c>
      <c r="U19" t="inlineStr">
        <is>
          <t>PJ*yr(2018)</t>
        </is>
      </c>
      <c r="V19" t="n">
        <v>0</v>
      </c>
      <c r="W19" t="inlineStr">
        <is>
          <t>PJ (2018)</t>
        </is>
      </c>
      <c r="Z19" t="n">
        <v>0.7</v>
      </c>
      <c r="AB19" t="n">
        <v>1</v>
      </c>
      <c r="AC19" t="inlineStr">
        <is>
          <t>IRFELE</t>
        </is>
      </c>
      <c r="AD19" s="27" t="n">
        <v>43.8496705406899</v>
      </c>
      <c r="AE19" t="inlineStr">
        <is>
          <t>NA</t>
        </is>
      </c>
      <c r="AF19" t="n">
        <v>1</v>
      </c>
      <c r="AG19" t="inlineStr">
        <is>
          <t>NA</t>
        </is>
      </c>
      <c r="AH19" t="n">
        <v>0.67424888427398</v>
      </c>
      <c r="AI19" t="inlineStr">
        <is>
          <t>NA</t>
        </is>
      </c>
    </row>
    <row r="20" customFormat="1" s="26">
      <c r="A20" t="inlineStr">
        <is>
          <t>Industry</t>
        </is>
      </c>
      <c r="B20" t="inlineStr">
        <is>
          <t>ESI</t>
        </is>
      </c>
      <c r="C20" t="inlineStr">
        <is>
          <t>WP1</t>
        </is>
      </c>
      <c r="D20" t="inlineStr">
        <is>
          <t>GREF</t>
        </is>
      </c>
      <c r="E20" t="inlineStr">
        <is>
          <t>SG GREF v8.14; VT_SG_IND_GREF</t>
        </is>
      </c>
      <c r="F20" t="inlineStr">
        <is>
          <t>WP1</t>
        </is>
      </c>
      <c r="G20" t="inlineStr">
        <is>
          <t>Scenario analysis</t>
        </is>
      </c>
      <c r="H20" t="inlineStr">
        <is>
          <t>IRFELECAE00</t>
        </is>
      </c>
      <c r="I20" t="inlineStr">
        <is>
          <t>Refinery Compressed Air System Standard Electricity</t>
        </is>
      </c>
      <c r="J20" t="inlineStr">
        <is>
          <t>SG</t>
        </is>
      </c>
      <c r="K20" s="27" t="n">
        <v>2048</v>
      </c>
      <c r="L20" t="n">
        <v>2018</v>
      </c>
      <c r="M20" t="n">
        <v>15</v>
      </c>
      <c r="O20" t="inlineStr">
        <is>
          <t>NA</t>
        </is>
      </c>
      <c r="P20" t="inlineStr">
        <is>
          <t>PJ</t>
        </is>
      </c>
      <c r="Q20" t="inlineStr">
        <is>
          <t>MSGD2016</t>
        </is>
      </c>
      <c r="R20" t="n">
        <v>63.4195839675292</v>
      </c>
      <c r="S20" t="inlineStr">
        <is>
          <t>PJ</t>
        </is>
      </c>
      <c r="T20" t="n">
        <v>1.10273619727157</v>
      </c>
      <c r="U20" t="inlineStr">
        <is>
          <t>PJ*yr(2018)</t>
        </is>
      </c>
      <c r="V20" t="n">
        <v>0</v>
      </c>
      <c r="W20" t="inlineStr">
        <is>
          <t>PJ (2018)</t>
        </is>
      </c>
      <c r="Z20" t="n">
        <v>0.7</v>
      </c>
      <c r="AB20" t="n">
        <v>1</v>
      </c>
      <c r="AC20" t="inlineStr">
        <is>
          <t>IRFELE</t>
        </is>
      </c>
      <c r="AD20" s="27" t="n">
        <v>43.2380781371621</v>
      </c>
      <c r="AE20" t="inlineStr">
        <is>
          <t>NA</t>
        </is>
      </c>
      <c r="AF20" t="n">
        <v>1</v>
      </c>
      <c r="AG20" t="inlineStr">
        <is>
          <t>NA</t>
        </is>
      </c>
      <c r="AH20" t="n">
        <v>0.67424888427398</v>
      </c>
      <c r="AI20" t="inlineStr">
        <is>
          <t>NA</t>
        </is>
      </c>
    </row>
    <row r="21" customFormat="1" s="26">
      <c r="A21" t="inlineStr">
        <is>
          <t>Industry</t>
        </is>
      </c>
      <c r="B21" t="inlineStr">
        <is>
          <t>ESI</t>
        </is>
      </c>
      <c r="C21" t="inlineStr">
        <is>
          <t>WP1</t>
        </is>
      </c>
      <c r="D21" t="inlineStr">
        <is>
          <t>GREF</t>
        </is>
      </c>
      <c r="E21" t="inlineStr">
        <is>
          <t>SG GREF v8.14; VT_SG_IND_GREF</t>
        </is>
      </c>
      <c r="F21" t="inlineStr">
        <is>
          <t>WP1</t>
        </is>
      </c>
      <c r="G21" t="inlineStr">
        <is>
          <t>Scenario analysis</t>
        </is>
      </c>
      <c r="H21" t="inlineStr">
        <is>
          <t>IRFELECAE00</t>
        </is>
      </c>
      <c r="I21" t="inlineStr">
        <is>
          <t>Refinery Compressed Air System Standard Electricity</t>
        </is>
      </c>
      <c r="J21" t="inlineStr">
        <is>
          <t>SG</t>
        </is>
      </c>
      <c r="K21" s="27" t="n">
        <v>2050</v>
      </c>
      <c r="L21" t="n">
        <v>2018</v>
      </c>
      <c r="M21" t="n">
        <v>15</v>
      </c>
      <c r="O21" t="inlineStr">
        <is>
          <t>NA</t>
        </is>
      </c>
      <c r="P21" t="inlineStr">
        <is>
          <t>PJ</t>
        </is>
      </c>
      <c r="Q21" t="inlineStr">
        <is>
          <t>MSGD2016</t>
        </is>
      </c>
      <c r="R21" t="n">
        <v>63.4195839675292</v>
      </c>
      <c r="S21" t="inlineStr">
        <is>
          <t>PJ</t>
        </is>
      </c>
      <c r="T21" t="n">
        <v>1.10273619727157</v>
      </c>
      <c r="U21" t="inlineStr">
        <is>
          <t>PJ*yr(2018)</t>
        </is>
      </c>
      <c r="V21" t="n">
        <v>0</v>
      </c>
      <c r="W21" t="inlineStr">
        <is>
          <t>PJ (2018)</t>
        </is>
      </c>
      <c r="Z21" t="n">
        <v>0.7</v>
      </c>
      <c r="AB21" t="n">
        <v>1</v>
      </c>
      <c r="AC21" t="inlineStr">
        <is>
          <t>IRFELE</t>
        </is>
      </c>
      <c r="AD21" s="27" t="n">
        <v>42.6264857336343</v>
      </c>
      <c r="AE21" t="inlineStr">
        <is>
          <t>NA</t>
        </is>
      </c>
      <c r="AF21" t="n">
        <v>1</v>
      </c>
      <c r="AG21" t="inlineStr">
        <is>
          <t>NA</t>
        </is>
      </c>
      <c r="AH21" t="n">
        <v>0.67424888427398</v>
      </c>
      <c r="AI21" t="inlineStr">
        <is>
          <t>NA</t>
        </is>
      </c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R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9" bestFit="1" customWidth="1" min="26" max="26"/>
    <col width="9" customWidth="1" min="27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64" t="inlineStr">
        <is>
          <t>VO&amp;M/Resource import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Primary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VT_SG_PRI_GREF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IMPCOA00</t>
        </is>
      </c>
      <c r="I10" t="inlineStr">
        <is>
          <t>Import Coal Standard</t>
        </is>
      </c>
      <c r="J10" t="inlineStr">
        <is>
          <t>SG</t>
        </is>
      </c>
      <c r="K10" s="27" t="n">
        <v>2018</v>
      </c>
      <c r="L10" t="n">
        <v>2018</v>
      </c>
      <c r="M10" t="inlineStr">
        <is>
          <t>NA</t>
        </is>
      </c>
      <c r="O10" t="n">
        <v>94.59999999999999</v>
      </c>
      <c r="P10" t="inlineStr">
        <is>
          <t>PJ</t>
        </is>
      </c>
      <c r="Q10" t="inlineStr">
        <is>
          <t>MSGD2016</t>
        </is>
      </c>
      <c r="R10" t="inlineStr">
        <is>
          <t>NA</t>
        </is>
      </c>
      <c r="S10" t="inlineStr">
        <is>
          <t>PJ</t>
        </is>
      </c>
      <c r="T10" t="inlineStr">
        <is>
          <t>NA</t>
        </is>
      </c>
      <c r="U10" t="inlineStr">
        <is>
          <t>PJ*yr(2018)</t>
        </is>
      </c>
      <c r="V10" t="n">
        <v>4.929792101707407</v>
      </c>
      <c r="W10" t="inlineStr">
        <is>
          <t>PJ (2018)</t>
        </is>
      </c>
      <c r="Z10" t="inlineStr">
        <is>
          <t>NA</t>
        </is>
      </c>
      <c r="AB10" t="n">
        <v>1</v>
      </c>
      <c r="AC10" t="inlineStr">
        <is>
          <t>COA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</row>
    <row r="11" customFormat="1" s="26">
      <c r="A11" t="inlineStr">
        <is>
          <t>Primary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VT_SG_PRI_GREF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IMPCOA00</t>
        </is>
      </c>
      <c r="I11" t="inlineStr">
        <is>
          <t>Import Coal Standard</t>
        </is>
      </c>
      <c r="J11" t="inlineStr">
        <is>
          <t>SG</t>
        </is>
      </c>
      <c r="K11" s="27" t="n">
        <v>2020</v>
      </c>
      <c r="L11" t="n">
        <v>2018</v>
      </c>
      <c r="M11" t="inlineStr">
        <is>
          <t>NA</t>
        </is>
      </c>
      <c r="O11" t="n">
        <v>94.59999999999999</v>
      </c>
      <c r="P11" t="inlineStr">
        <is>
          <t>PJ</t>
        </is>
      </c>
      <c r="Q11" t="inlineStr">
        <is>
          <t>MSGD2016</t>
        </is>
      </c>
      <c r="R11" t="inlineStr">
        <is>
          <t>NA</t>
        </is>
      </c>
      <c r="S11" t="inlineStr">
        <is>
          <t>PJ</t>
        </is>
      </c>
      <c r="T11" t="inlineStr">
        <is>
          <t>NA</t>
        </is>
      </c>
      <c r="U11" t="inlineStr">
        <is>
          <t>PJ*yr(2018)</t>
        </is>
      </c>
      <c r="V11">
        <f>SUMIFS([1]Data_BY!E$2:E$51,[1]Data_BY!$B$2:$B$51,[1]Import!$K7)</f>
        <v/>
      </c>
    </row>
    <row r="12" customFormat="1" s="26">
      <c r="A12" t="inlineStr">
        <is>
          <t>Primary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VT_SG_PRI_GREF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IMPCOA00</t>
        </is>
      </c>
      <c r="I12" t="inlineStr">
        <is>
          <t>Import Coal Standard</t>
        </is>
      </c>
      <c r="J12" t="inlineStr">
        <is>
          <t>SG</t>
        </is>
      </c>
      <c r="K12" s="27" t="n">
        <v>2022</v>
      </c>
      <c r="L12" t="n">
        <v>2018</v>
      </c>
      <c r="M12" t="inlineStr">
        <is>
          <t>NA</t>
        </is>
      </c>
      <c r="O12" t="n">
        <v>94.59999999999999</v>
      </c>
      <c r="P12" t="inlineStr">
        <is>
          <t>PJ</t>
        </is>
      </c>
      <c r="Q12" t="inlineStr">
        <is>
          <t>MSGD2016</t>
        </is>
      </c>
      <c r="R12" t="inlineStr">
        <is>
          <t>NA</t>
        </is>
      </c>
      <c r="S12" t="inlineStr">
        <is>
          <t>PJ</t>
        </is>
      </c>
      <c r="T12" t="inlineStr">
        <is>
          <t>NA</t>
        </is>
      </c>
      <c r="U12" t="inlineStr">
        <is>
          <t>PJ*yr(2018)</t>
        </is>
      </c>
      <c r="V12">
        <f>SUMIFS([1]Data_BY!F$2:F$51,[1]Data_BY!$B$2:$B$51,[1]Import!$K7)</f>
        <v/>
      </c>
    </row>
    <row r="13" customFormat="1" s="26">
      <c r="A13" t="inlineStr">
        <is>
          <t>Primary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VT_SG_PRI_GREF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IMPCOA00</t>
        </is>
      </c>
      <c r="I13" t="inlineStr">
        <is>
          <t>Import Coal Standard</t>
        </is>
      </c>
      <c r="J13" t="inlineStr">
        <is>
          <t>SG</t>
        </is>
      </c>
      <c r="K13" s="27" t="n">
        <v>2024</v>
      </c>
      <c r="L13" t="n">
        <v>2018</v>
      </c>
      <c r="M13" t="inlineStr">
        <is>
          <t>NA</t>
        </is>
      </c>
      <c r="O13" t="n">
        <v>94.59999999999999</v>
      </c>
      <c r="P13" t="inlineStr">
        <is>
          <t>PJ</t>
        </is>
      </c>
      <c r="Q13" t="inlineStr">
        <is>
          <t>MSGD2016</t>
        </is>
      </c>
      <c r="R13" t="inlineStr">
        <is>
          <t>NA</t>
        </is>
      </c>
      <c r="S13" t="inlineStr">
        <is>
          <t>PJ</t>
        </is>
      </c>
      <c r="T13" t="inlineStr">
        <is>
          <t>NA</t>
        </is>
      </c>
      <c r="U13" t="inlineStr">
        <is>
          <t>PJ*yr(2018)</t>
        </is>
      </c>
      <c r="V13">
        <f>SUMIFS([1]Data_BY!G$2:G$51,[1]Data_BY!$B$2:$B$51,[1]Import!$K7)</f>
        <v/>
      </c>
    </row>
    <row r="14" customFormat="1" s="26">
      <c r="A14" t="inlineStr">
        <is>
          <t>Primary</t>
        </is>
      </c>
      <c r="B14" t="inlineStr">
        <is>
          <t>ESI</t>
        </is>
      </c>
      <c r="C14" t="inlineStr">
        <is>
          <t>WP1</t>
        </is>
      </c>
      <c r="D14" t="inlineStr">
        <is>
          <t>GREF</t>
        </is>
      </c>
      <c r="E14" t="inlineStr">
        <is>
          <t>SG GREF v8.14; VT_SG_PRI_GREF</t>
        </is>
      </c>
      <c r="F14" t="inlineStr">
        <is>
          <t>WP1</t>
        </is>
      </c>
      <c r="G14" t="inlineStr">
        <is>
          <t>Scenario analysis</t>
        </is>
      </c>
      <c r="H14" t="inlineStr">
        <is>
          <t>IMPCOA00</t>
        </is>
      </c>
      <c r="I14" t="inlineStr">
        <is>
          <t>Import Coal Standard</t>
        </is>
      </c>
      <c r="J14" t="inlineStr">
        <is>
          <t>SG</t>
        </is>
      </c>
      <c r="K14" s="27" t="n">
        <v>2026</v>
      </c>
      <c r="L14" t="n">
        <v>2018</v>
      </c>
      <c r="M14" t="inlineStr">
        <is>
          <t>NA</t>
        </is>
      </c>
      <c r="O14" t="n">
        <v>94.59999999999999</v>
      </c>
      <c r="P14" t="inlineStr">
        <is>
          <t>PJ</t>
        </is>
      </c>
      <c r="Q14" t="inlineStr">
        <is>
          <t>MSGD2016</t>
        </is>
      </c>
      <c r="R14" t="inlineStr">
        <is>
          <t>NA</t>
        </is>
      </c>
      <c r="S14" t="inlineStr">
        <is>
          <t>PJ</t>
        </is>
      </c>
      <c r="T14" t="inlineStr">
        <is>
          <t>NA</t>
        </is>
      </c>
      <c r="U14" t="inlineStr">
        <is>
          <t>PJ*yr(2018)</t>
        </is>
      </c>
      <c r="V14">
        <f>SUMIFS([1]Data_BY!H$2:H$51,[1]Data_BY!$B$2:$B$51,[1]Import!$K7)</f>
        <v/>
      </c>
    </row>
    <row r="15" customFormat="1" s="26">
      <c r="A15" t="inlineStr">
        <is>
          <t>Primary</t>
        </is>
      </c>
      <c r="B15" t="inlineStr">
        <is>
          <t>ESI</t>
        </is>
      </c>
      <c r="C15" t="inlineStr">
        <is>
          <t>WP1</t>
        </is>
      </c>
      <c r="D15" t="inlineStr">
        <is>
          <t>GREF</t>
        </is>
      </c>
      <c r="E15" t="inlineStr">
        <is>
          <t>SG GREF v8.14; VT_SG_PRI_GREF</t>
        </is>
      </c>
      <c r="F15" t="inlineStr">
        <is>
          <t>WP1</t>
        </is>
      </c>
      <c r="G15" t="inlineStr">
        <is>
          <t>Scenario analysis</t>
        </is>
      </c>
      <c r="H15" t="inlineStr">
        <is>
          <t>IMPCOA00</t>
        </is>
      </c>
      <c r="I15" t="inlineStr">
        <is>
          <t>Import Coal Standard</t>
        </is>
      </c>
      <c r="J15" t="inlineStr">
        <is>
          <t>SG</t>
        </is>
      </c>
      <c r="K15" s="27" t="n">
        <v>2028</v>
      </c>
      <c r="L15" t="n">
        <v>2018</v>
      </c>
      <c r="M15" t="inlineStr">
        <is>
          <t>NA</t>
        </is>
      </c>
      <c r="O15" t="n">
        <v>94.59999999999999</v>
      </c>
      <c r="P15" t="inlineStr">
        <is>
          <t>PJ</t>
        </is>
      </c>
      <c r="Q15" t="inlineStr">
        <is>
          <t>MSGD2016</t>
        </is>
      </c>
      <c r="R15" t="inlineStr">
        <is>
          <t>NA</t>
        </is>
      </c>
      <c r="S15" t="inlineStr">
        <is>
          <t>PJ</t>
        </is>
      </c>
      <c r="T15" t="inlineStr">
        <is>
          <t>NA</t>
        </is>
      </c>
      <c r="U15" t="inlineStr">
        <is>
          <t>PJ*yr(2018)</t>
        </is>
      </c>
      <c r="V15">
        <f>SUMIFS([1]Data_BY!I$2:I$51,[1]Data_BY!$B$2:$B$51,[1]Import!$K7)</f>
        <v/>
      </c>
    </row>
    <row r="16" customFormat="1" s="26">
      <c r="A16" t="inlineStr">
        <is>
          <t>Primary</t>
        </is>
      </c>
      <c r="B16" t="inlineStr">
        <is>
          <t>ESI</t>
        </is>
      </c>
      <c r="C16" t="inlineStr">
        <is>
          <t>WP1</t>
        </is>
      </c>
      <c r="D16" t="inlineStr">
        <is>
          <t>GREF</t>
        </is>
      </c>
      <c r="E16" t="inlineStr">
        <is>
          <t>SG GREF v8.14; VT_SG_PRI_GREF</t>
        </is>
      </c>
      <c r="F16" t="inlineStr">
        <is>
          <t>WP1</t>
        </is>
      </c>
      <c r="G16" t="inlineStr">
        <is>
          <t>Scenario analysis</t>
        </is>
      </c>
      <c r="H16" t="inlineStr">
        <is>
          <t>IMPCOA00</t>
        </is>
      </c>
      <c r="I16" t="inlineStr">
        <is>
          <t>Import Coal Standard</t>
        </is>
      </c>
      <c r="J16" t="inlineStr">
        <is>
          <t>SG</t>
        </is>
      </c>
      <c r="K16" s="27" t="n">
        <v>2030</v>
      </c>
      <c r="L16" t="n">
        <v>2018</v>
      </c>
      <c r="M16" t="inlineStr">
        <is>
          <t>NA</t>
        </is>
      </c>
      <c r="O16" t="n">
        <v>94.59999999999999</v>
      </c>
      <c r="P16" t="inlineStr">
        <is>
          <t>PJ</t>
        </is>
      </c>
      <c r="Q16" t="inlineStr">
        <is>
          <t>MSGD2016</t>
        </is>
      </c>
      <c r="R16" t="inlineStr">
        <is>
          <t>NA</t>
        </is>
      </c>
      <c r="S16" t="inlineStr">
        <is>
          <t>PJ</t>
        </is>
      </c>
      <c r="T16" t="inlineStr">
        <is>
          <t>NA</t>
        </is>
      </c>
      <c r="U16" t="inlineStr">
        <is>
          <t>PJ*yr(2018)</t>
        </is>
      </c>
      <c r="V16">
        <f>SUMIFS([1]Data_BY!J$2:J$51,[1]Data_BY!$B$2:$B$51,[1]Import!$K7)</f>
        <v/>
      </c>
    </row>
    <row r="17" customFormat="1" s="26">
      <c r="A17" t="inlineStr">
        <is>
          <t>Primary</t>
        </is>
      </c>
      <c r="B17" t="inlineStr">
        <is>
          <t>ESI</t>
        </is>
      </c>
      <c r="C17" t="inlineStr">
        <is>
          <t>WP1</t>
        </is>
      </c>
      <c r="D17" t="inlineStr">
        <is>
          <t>GREF</t>
        </is>
      </c>
      <c r="E17" t="inlineStr">
        <is>
          <t>SG GREF v8.14; VT_SG_PRI_GREF</t>
        </is>
      </c>
      <c r="F17" t="inlineStr">
        <is>
          <t>WP1</t>
        </is>
      </c>
      <c r="G17" t="inlineStr">
        <is>
          <t>Scenario analysis</t>
        </is>
      </c>
      <c r="H17" t="inlineStr">
        <is>
          <t>IMPCOA00</t>
        </is>
      </c>
      <c r="I17" t="inlineStr">
        <is>
          <t>Import Coal Standard</t>
        </is>
      </c>
      <c r="J17" t="inlineStr">
        <is>
          <t>SG</t>
        </is>
      </c>
      <c r="K17" s="27" t="n">
        <v>2032</v>
      </c>
      <c r="L17" t="n">
        <v>2018</v>
      </c>
      <c r="M17" t="inlineStr">
        <is>
          <t>NA</t>
        </is>
      </c>
      <c r="O17" t="n">
        <v>94.59999999999999</v>
      </c>
      <c r="P17" t="inlineStr">
        <is>
          <t>PJ</t>
        </is>
      </c>
      <c r="Q17" t="inlineStr">
        <is>
          <t>MSGD2016</t>
        </is>
      </c>
      <c r="R17" t="inlineStr">
        <is>
          <t>NA</t>
        </is>
      </c>
      <c r="S17" t="inlineStr">
        <is>
          <t>PJ</t>
        </is>
      </c>
      <c r="T17" t="inlineStr">
        <is>
          <t>NA</t>
        </is>
      </c>
      <c r="U17" t="inlineStr">
        <is>
          <t>PJ*yr(2018)</t>
        </is>
      </c>
      <c r="V17">
        <f>SUMIFS([1]Data_BY!K$2:K$51,[1]Data_BY!$B$2:$B$51,[1]Import!$K7)</f>
        <v/>
      </c>
    </row>
    <row r="18" customFormat="1" s="26">
      <c r="A18" t="inlineStr">
        <is>
          <t>Primary</t>
        </is>
      </c>
      <c r="B18" t="inlineStr">
        <is>
          <t>ESI</t>
        </is>
      </c>
      <c r="C18" t="inlineStr">
        <is>
          <t>WP1</t>
        </is>
      </c>
      <c r="D18" t="inlineStr">
        <is>
          <t>GREF</t>
        </is>
      </c>
      <c r="E18" t="inlineStr">
        <is>
          <t>SG GREF v8.14; VT_SG_PRI_GREF</t>
        </is>
      </c>
      <c r="F18" t="inlineStr">
        <is>
          <t>WP1</t>
        </is>
      </c>
      <c r="G18" t="inlineStr">
        <is>
          <t>Scenario analysis</t>
        </is>
      </c>
      <c r="H18" t="inlineStr">
        <is>
          <t>IMPCOA00</t>
        </is>
      </c>
      <c r="I18" t="inlineStr">
        <is>
          <t>Import Coal Standard</t>
        </is>
      </c>
      <c r="J18" t="inlineStr">
        <is>
          <t>SG</t>
        </is>
      </c>
      <c r="K18" s="27" t="n">
        <v>2034</v>
      </c>
      <c r="L18" t="n">
        <v>2018</v>
      </c>
      <c r="M18" t="inlineStr">
        <is>
          <t>NA</t>
        </is>
      </c>
      <c r="O18" t="n">
        <v>94.59999999999999</v>
      </c>
      <c r="P18" t="inlineStr">
        <is>
          <t>PJ</t>
        </is>
      </c>
      <c r="Q18" t="inlineStr">
        <is>
          <t>MSGD2016</t>
        </is>
      </c>
      <c r="R18" t="inlineStr">
        <is>
          <t>NA</t>
        </is>
      </c>
      <c r="S18" t="inlineStr">
        <is>
          <t>PJ</t>
        </is>
      </c>
      <c r="T18" t="inlineStr">
        <is>
          <t>NA</t>
        </is>
      </c>
      <c r="U18" t="inlineStr">
        <is>
          <t>PJ*yr(2018)</t>
        </is>
      </c>
      <c r="V18">
        <f>SUMIFS([1]Data_BY!L$2:L$51,[1]Data_BY!$B$2:$B$51,[1]Import!$K7)</f>
        <v/>
      </c>
    </row>
    <row r="19" customFormat="1" s="26">
      <c r="A19" t="inlineStr">
        <is>
          <t>Primary</t>
        </is>
      </c>
      <c r="B19" t="inlineStr">
        <is>
          <t>ESI</t>
        </is>
      </c>
      <c r="C19" t="inlineStr">
        <is>
          <t>WP1</t>
        </is>
      </c>
      <c r="D19" t="inlineStr">
        <is>
          <t>GREF</t>
        </is>
      </c>
      <c r="E19" t="inlineStr">
        <is>
          <t>SG GREF v8.14; VT_SG_PRI_GREF</t>
        </is>
      </c>
      <c r="F19" t="inlineStr">
        <is>
          <t>WP1</t>
        </is>
      </c>
      <c r="G19" t="inlineStr">
        <is>
          <t>Scenario analysis</t>
        </is>
      </c>
      <c r="H19" t="inlineStr">
        <is>
          <t>IMPCOA00</t>
        </is>
      </c>
      <c r="I19" t="inlineStr">
        <is>
          <t>Import Coal Standard</t>
        </is>
      </c>
      <c r="J19" t="inlineStr">
        <is>
          <t>SG</t>
        </is>
      </c>
      <c r="K19" s="27" t="n">
        <v>2036</v>
      </c>
      <c r="L19" t="n">
        <v>2018</v>
      </c>
      <c r="M19" t="inlineStr">
        <is>
          <t>NA</t>
        </is>
      </c>
      <c r="O19" t="n">
        <v>94.59999999999999</v>
      </c>
      <c r="P19" t="inlineStr">
        <is>
          <t>PJ</t>
        </is>
      </c>
      <c r="Q19" t="inlineStr">
        <is>
          <t>MSGD2016</t>
        </is>
      </c>
      <c r="R19" t="inlineStr">
        <is>
          <t>NA</t>
        </is>
      </c>
      <c r="S19" t="inlineStr">
        <is>
          <t>PJ</t>
        </is>
      </c>
      <c r="T19" t="inlineStr">
        <is>
          <t>NA</t>
        </is>
      </c>
      <c r="U19" t="inlineStr">
        <is>
          <t>PJ*yr(2018)</t>
        </is>
      </c>
      <c r="V19">
        <f>SUMIFS([1]Data_BY!M$2:M$51,[1]Data_BY!$B$2:$B$51,[1]Import!$K7)</f>
        <v/>
      </c>
    </row>
    <row r="20" customFormat="1" s="26">
      <c r="A20" t="inlineStr">
        <is>
          <t>Primary</t>
        </is>
      </c>
      <c r="B20" t="inlineStr">
        <is>
          <t>ESI</t>
        </is>
      </c>
      <c r="C20" t="inlineStr">
        <is>
          <t>WP1</t>
        </is>
      </c>
      <c r="D20" t="inlineStr">
        <is>
          <t>GREF</t>
        </is>
      </c>
      <c r="E20" t="inlineStr">
        <is>
          <t>SG GREF v8.14; VT_SG_PRI_GREF</t>
        </is>
      </c>
      <c r="F20" t="inlineStr">
        <is>
          <t>WP1</t>
        </is>
      </c>
      <c r="G20" t="inlineStr">
        <is>
          <t>Scenario analysis</t>
        </is>
      </c>
      <c r="H20" t="inlineStr">
        <is>
          <t>IMPCOA00</t>
        </is>
      </c>
      <c r="I20" t="inlineStr">
        <is>
          <t>Import Coal Standard</t>
        </is>
      </c>
      <c r="J20" t="inlineStr">
        <is>
          <t>SG</t>
        </is>
      </c>
      <c r="K20" s="27" t="n">
        <v>2038</v>
      </c>
      <c r="L20" t="n">
        <v>2018</v>
      </c>
      <c r="M20" t="inlineStr">
        <is>
          <t>NA</t>
        </is>
      </c>
      <c r="O20" t="n">
        <v>94.59999999999999</v>
      </c>
      <c r="P20" t="inlineStr">
        <is>
          <t>PJ</t>
        </is>
      </c>
      <c r="Q20" t="inlineStr">
        <is>
          <t>MSGD2016</t>
        </is>
      </c>
      <c r="R20" t="inlineStr">
        <is>
          <t>NA</t>
        </is>
      </c>
      <c r="S20" t="inlineStr">
        <is>
          <t>PJ</t>
        </is>
      </c>
      <c r="T20" t="inlineStr">
        <is>
          <t>NA</t>
        </is>
      </c>
      <c r="U20" t="inlineStr">
        <is>
          <t>PJ*yr(2018)</t>
        </is>
      </c>
      <c r="V20">
        <f>SUMIFS([1]Data_BY!N$2:N$51,[1]Data_BY!$B$2:$B$51,[1]Import!$K7)</f>
        <v/>
      </c>
    </row>
    <row r="21" customFormat="1" s="26">
      <c r="A21" t="inlineStr">
        <is>
          <t>Primary</t>
        </is>
      </c>
      <c r="B21" t="inlineStr">
        <is>
          <t>ESI</t>
        </is>
      </c>
      <c r="C21" t="inlineStr">
        <is>
          <t>WP1</t>
        </is>
      </c>
      <c r="D21" t="inlineStr">
        <is>
          <t>GREF</t>
        </is>
      </c>
      <c r="E21" t="inlineStr">
        <is>
          <t>SG GREF v8.14; VT_SG_PRI_GREF</t>
        </is>
      </c>
      <c r="F21" t="inlineStr">
        <is>
          <t>WP1</t>
        </is>
      </c>
      <c r="G21" t="inlineStr">
        <is>
          <t>Scenario analysis</t>
        </is>
      </c>
      <c r="H21" t="inlineStr">
        <is>
          <t>IMPCOA00</t>
        </is>
      </c>
      <c r="I21" t="inlineStr">
        <is>
          <t>Import Coal Standard</t>
        </is>
      </c>
      <c r="J21" t="inlineStr">
        <is>
          <t>SG</t>
        </is>
      </c>
      <c r="K21" s="27" t="n">
        <v>2040</v>
      </c>
      <c r="L21" t="n">
        <v>2018</v>
      </c>
      <c r="M21" t="inlineStr">
        <is>
          <t>NA</t>
        </is>
      </c>
      <c r="O21" t="n">
        <v>94.59999999999999</v>
      </c>
      <c r="P21" t="inlineStr">
        <is>
          <t>PJ</t>
        </is>
      </c>
      <c r="Q21" t="inlineStr">
        <is>
          <t>MSGD2016</t>
        </is>
      </c>
      <c r="R21" t="inlineStr">
        <is>
          <t>NA</t>
        </is>
      </c>
      <c r="S21" t="inlineStr">
        <is>
          <t>PJ</t>
        </is>
      </c>
      <c r="T21" t="inlineStr">
        <is>
          <t>NA</t>
        </is>
      </c>
      <c r="U21" t="inlineStr">
        <is>
          <t>PJ*yr(2018)</t>
        </is>
      </c>
      <c r="V21">
        <f>SUMIFS([1]Data_BY!O$2:O$51,[1]Data_BY!$B$2:$B$51,[1]Import!$K7)</f>
        <v/>
      </c>
    </row>
    <row r="22">
      <c r="A22" t="inlineStr">
        <is>
          <t>Primary</t>
        </is>
      </c>
      <c r="B22" t="inlineStr">
        <is>
          <t>ESI</t>
        </is>
      </c>
      <c r="C22" t="inlineStr">
        <is>
          <t>WP1</t>
        </is>
      </c>
      <c r="D22" t="inlineStr">
        <is>
          <t>GREF</t>
        </is>
      </c>
      <c r="E22" t="inlineStr">
        <is>
          <t>SG GREF v8.14; VT_SG_PRI_GREF</t>
        </is>
      </c>
      <c r="F22" t="inlineStr">
        <is>
          <t>WP1</t>
        </is>
      </c>
      <c r="G22" t="inlineStr">
        <is>
          <t>Scenario analysis</t>
        </is>
      </c>
      <c r="H22" t="inlineStr">
        <is>
          <t>IMPCOA00</t>
        </is>
      </c>
      <c r="I22" t="inlineStr">
        <is>
          <t>Import Coal Standard</t>
        </is>
      </c>
      <c r="J22" t="inlineStr">
        <is>
          <t>SG</t>
        </is>
      </c>
      <c r="K22" s="27" t="n">
        <v>2042</v>
      </c>
      <c r="L22" t="n">
        <v>2018</v>
      </c>
      <c r="M22" t="inlineStr">
        <is>
          <t>NA</t>
        </is>
      </c>
      <c r="O22" t="n">
        <v>94.59999999999999</v>
      </c>
      <c r="P22" t="inlineStr">
        <is>
          <t>PJ</t>
        </is>
      </c>
      <c r="Q22" t="inlineStr">
        <is>
          <t>MSGD2016</t>
        </is>
      </c>
      <c r="R22" t="inlineStr">
        <is>
          <t>NA</t>
        </is>
      </c>
      <c r="S22" t="inlineStr">
        <is>
          <t>PJ</t>
        </is>
      </c>
      <c r="T22" t="inlineStr">
        <is>
          <t>NA</t>
        </is>
      </c>
      <c r="U22" t="inlineStr">
        <is>
          <t>PJ*yr(2018)</t>
        </is>
      </c>
      <c r="V22">
        <f>SUMIFS([1]Data_BY!P$2:P$51,[1]Data_BY!$B$2:$B$51,[1]Import!$K7)</f>
        <v/>
      </c>
    </row>
    <row r="23">
      <c r="A23" t="inlineStr">
        <is>
          <t>Primary</t>
        </is>
      </c>
      <c r="B23" t="inlineStr">
        <is>
          <t>ESI</t>
        </is>
      </c>
      <c r="C23" t="inlineStr">
        <is>
          <t>WP1</t>
        </is>
      </c>
      <c r="D23" t="inlineStr">
        <is>
          <t>GREF</t>
        </is>
      </c>
      <c r="E23" t="inlineStr">
        <is>
          <t>SG GREF v8.14; VT_SG_PRI_GREF</t>
        </is>
      </c>
      <c r="F23" t="inlineStr">
        <is>
          <t>WP1</t>
        </is>
      </c>
      <c r="G23" t="inlineStr">
        <is>
          <t>Scenario analysis</t>
        </is>
      </c>
      <c r="H23" t="inlineStr">
        <is>
          <t>IMPCOA00</t>
        </is>
      </c>
      <c r="I23" t="inlineStr">
        <is>
          <t>Import Coal Standard</t>
        </is>
      </c>
      <c r="J23" t="inlineStr">
        <is>
          <t>SG</t>
        </is>
      </c>
      <c r="K23" s="27" t="n">
        <v>2044</v>
      </c>
      <c r="L23" t="n">
        <v>2018</v>
      </c>
      <c r="M23" t="inlineStr">
        <is>
          <t>NA</t>
        </is>
      </c>
      <c r="O23" t="n">
        <v>94.59999999999999</v>
      </c>
      <c r="P23" t="inlineStr">
        <is>
          <t>PJ</t>
        </is>
      </c>
      <c r="Q23" t="inlineStr">
        <is>
          <t>MSGD2016</t>
        </is>
      </c>
      <c r="R23" t="inlineStr">
        <is>
          <t>NA</t>
        </is>
      </c>
      <c r="S23" t="inlineStr">
        <is>
          <t>PJ</t>
        </is>
      </c>
      <c r="T23" t="inlineStr">
        <is>
          <t>NA</t>
        </is>
      </c>
      <c r="U23" t="inlineStr">
        <is>
          <t>PJ*yr(2018)</t>
        </is>
      </c>
      <c r="V23">
        <f>SUMIFS([1]Data_BY!Q$2:Q$51,[1]Data_BY!$B$2:$B$51,[1]Import!$K7)</f>
        <v/>
      </c>
    </row>
    <row r="24">
      <c r="A24" t="inlineStr">
        <is>
          <t>Primary</t>
        </is>
      </c>
      <c r="B24" t="inlineStr">
        <is>
          <t>ESI</t>
        </is>
      </c>
      <c r="C24" t="inlineStr">
        <is>
          <t>WP1</t>
        </is>
      </c>
      <c r="D24" t="inlineStr">
        <is>
          <t>GREF</t>
        </is>
      </c>
      <c r="E24" t="inlineStr">
        <is>
          <t>SG GREF v8.14; VT_SG_PRI_GREF</t>
        </is>
      </c>
      <c r="F24" t="inlineStr">
        <is>
          <t>WP1</t>
        </is>
      </c>
      <c r="G24" t="inlineStr">
        <is>
          <t>Scenario analysis</t>
        </is>
      </c>
      <c r="H24" t="inlineStr">
        <is>
          <t>IMPCOA00</t>
        </is>
      </c>
      <c r="I24" t="inlineStr">
        <is>
          <t>Import Coal Standard</t>
        </is>
      </c>
      <c r="J24" t="inlineStr">
        <is>
          <t>SG</t>
        </is>
      </c>
      <c r="K24" s="27" t="n">
        <v>2046</v>
      </c>
      <c r="L24" t="n">
        <v>2018</v>
      </c>
      <c r="M24" t="inlineStr">
        <is>
          <t>NA</t>
        </is>
      </c>
      <c r="O24" t="n">
        <v>94.59999999999999</v>
      </c>
      <c r="P24" t="inlineStr">
        <is>
          <t>PJ</t>
        </is>
      </c>
      <c r="Q24" t="inlineStr">
        <is>
          <t>MSGD2016</t>
        </is>
      </c>
      <c r="R24" t="inlineStr">
        <is>
          <t>NA</t>
        </is>
      </c>
      <c r="S24" t="inlineStr">
        <is>
          <t>PJ</t>
        </is>
      </c>
      <c r="T24" t="inlineStr">
        <is>
          <t>NA</t>
        </is>
      </c>
      <c r="U24" t="inlineStr">
        <is>
          <t>PJ*yr(2018)</t>
        </is>
      </c>
      <c r="V24">
        <f>SUMIFS([1]Data_BY!R$2:R$51,[1]Data_BY!$B$2:$B$51,[1]Import!$K7)</f>
        <v/>
      </c>
    </row>
    <row r="25">
      <c r="A25" t="inlineStr">
        <is>
          <t>Primary</t>
        </is>
      </c>
      <c r="B25" t="inlineStr">
        <is>
          <t>ESI</t>
        </is>
      </c>
      <c r="C25" t="inlineStr">
        <is>
          <t>WP1</t>
        </is>
      </c>
      <c r="D25" t="inlineStr">
        <is>
          <t>GREF</t>
        </is>
      </c>
      <c r="E25" t="inlineStr">
        <is>
          <t>SG GREF v8.14; VT_SG_PRI_GREF</t>
        </is>
      </c>
      <c r="F25" t="inlineStr">
        <is>
          <t>WP1</t>
        </is>
      </c>
      <c r="G25" t="inlineStr">
        <is>
          <t>Scenario analysis</t>
        </is>
      </c>
      <c r="H25" t="inlineStr">
        <is>
          <t>IMPCOA00</t>
        </is>
      </c>
      <c r="I25" t="inlineStr">
        <is>
          <t>Import Coal Standard</t>
        </is>
      </c>
      <c r="J25" t="inlineStr">
        <is>
          <t>SG</t>
        </is>
      </c>
      <c r="K25" s="27" t="n">
        <v>2048</v>
      </c>
      <c r="L25" t="n">
        <v>2018</v>
      </c>
      <c r="M25" t="inlineStr">
        <is>
          <t>NA</t>
        </is>
      </c>
      <c r="O25" t="n">
        <v>94.59999999999999</v>
      </c>
      <c r="P25" t="inlineStr">
        <is>
          <t>PJ</t>
        </is>
      </c>
      <c r="Q25" t="inlineStr">
        <is>
          <t>MSGD2016</t>
        </is>
      </c>
      <c r="R25" t="inlineStr">
        <is>
          <t>NA</t>
        </is>
      </c>
      <c r="S25" t="inlineStr">
        <is>
          <t>PJ</t>
        </is>
      </c>
      <c r="T25" t="inlineStr">
        <is>
          <t>NA</t>
        </is>
      </c>
      <c r="U25" t="inlineStr">
        <is>
          <t>PJ*yr(2018)</t>
        </is>
      </c>
      <c r="V25">
        <f>SUMIFS([1]Data_BY!S$2:S$51,[1]Data_BY!$B$2:$B$51,[1]Import!$K7)</f>
        <v/>
      </c>
    </row>
    <row r="26">
      <c r="A26" t="inlineStr">
        <is>
          <t>Primary</t>
        </is>
      </c>
      <c r="B26" t="inlineStr">
        <is>
          <t>ESI</t>
        </is>
      </c>
      <c r="C26" t="inlineStr">
        <is>
          <t>WP1</t>
        </is>
      </c>
      <c r="D26" t="inlineStr">
        <is>
          <t>GREF</t>
        </is>
      </c>
      <c r="E26" t="inlineStr">
        <is>
          <t>SG GREF v8.14; VT_SG_PRI_GREF</t>
        </is>
      </c>
      <c r="F26" t="inlineStr">
        <is>
          <t>WP1</t>
        </is>
      </c>
      <c r="G26" t="inlineStr">
        <is>
          <t>Scenario analysis</t>
        </is>
      </c>
      <c r="H26" t="inlineStr">
        <is>
          <t>IMPCOA00</t>
        </is>
      </c>
      <c r="I26" t="inlineStr">
        <is>
          <t>Import Coal Standard</t>
        </is>
      </c>
      <c r="J26" t="inlineStr">
        <is>
          <t>SG</t>
        </is>
      </c>
      <c r="K26" s="27" t="n">
        <v>2050</v>
      </c>
      <c r="L26" t="n">
        <v>2018</v>
      </c>
      <c r="M26" t="inlineStr">
        <is>
          <t>NA</t>
        </is>
      </c>
      <c r="O26" t="n">
        <v>94.59999999999999</v>
      </c>
      <c r="P26" t="inlineStr">
        <is>
          <t>PJ</t>
        </is>
      </c>
      <c r="Q26" t="inlineStr">
        <is>
          <t>MSGD2016</t>
        </is>
      </c>
      <c r="R26" t="inlineStr">
        <is>
          <t>NA</t>
        </is>
      </c>
      <c r="S26" t="inlineStr">
        <is>
          <t>PJ</t>
        </is>
      </c>
      <c r="T26" t="inlineStr">
        <is>
          <t>NA</t>
        </is>
      </c>
      <c r="U26" t="inlineStr">
        <is>
          <t>PJ*yr(2018)</t>
        </is>
      </c>
      <c r="V26">
        <f>SUMIFS([1]Data_BY!T$2:T$51,[1]Data_BY!$B$2:$B$51,[1]Import!$K7)</f>
        <v/>
      </c>
    </row>
    <row r="27">
      <c r="A27" t="inlineStr">
        <is>
          <t>Primary</t>
        </is>
      </c>
      <c r="B27" t="inlineStr">
        <is>
          <t>ESI</t>
        </is>
      </c>
      <c r="C27" t="inlineStr">
        <is>
          <t>WP1</t>
        </is>
      </c>
      <c r="D27" t="inlineStr">
        <is>
          <t>GREF</t>
        </is>
      </c>
      <c r="E27" t="inlineStr">
        <is>
          <t>SG GREF v8.14; VT_SG_PRI_GREF</t>
        </is>
      </c>
      <c r="F27" t="inlineStr">
        <is>
          <t>WP1</t>
        </is>
      </c>
      <c r="G27" t="inlineStr">
        <is>
          <t>Scenario analysis</t>
        </is>
      </c>
      <c r="H27" t="inlineStr">
        <is>
          <t>IMPCOA00</t>
        </is>
      </c>
      <c r="I27" t="inlineStr">
        <is>
          <t>Import Coal Standard</t>
        </is>
      </c>
      <c r="J27" t="inlineStr">
        <is>
          <t>SG</t>
        </is>
      </c>
      <c r="K27" s="27" t="n">
        <v>2052</v>
      </c>
      <c r="L27" t="n">
        <v>2018</v>
      </c>
      <c r="M27" t="inlineStr">
        <is>
          <t>NA</t>
        </is>
      </c>
      <c r="O27" t="n">
        <v>94.59999999999999</v>
      </c>
      <c r="P27" t="inlineStr">
        <is>
          <t>PJ</t>
        </is>
      </c>
      <c r="Q27" t="inlineStr">
        <is>
          <t>MSGD2016</t>
        </is>
      </c>
      <c r="R27" t="inlineStr">
        <is>
          <t>NA</t>
        </is>
      </c>
      <c r="S27" t="inlineStr">
        <is>
          <t>PJ</t>
        </is>
      </c>
      <c r="T27" t="inlineStr">
        <is>
          <t>NA</t>
        </is>
      </c>
      <c r="U27" t="inlineStr">
        <is>
          <t>PJ*yr(2018)</t>
        </is>
      </c>
      <c r="V27">
        <f>SUMIFS([1]Data_BY!U$2:U$51,[1]Data_BY!$B$2:$B$51,[1]Import!$K7)</f>
        <v/>
      </c>
    </row>
    <row r="28">
      <c r="A28" t="inlineStr">
        <is>
          <t>Primary</t>
        </is>
      </c>
      <c r="B28" t="inlineStr">
        <is>
          <t>ESI</t>
        </is>
      </c>
      <c r="C28" t="inlineStr">
        <is>
          <t>WP1</t>
        </is>
      </c>
      <c r="D28" t="inlineStr">
        <is>
          <t>GREF</t>
        </is>
      </c>
      <c r="E28" t="inlineStr">
        <is>
          <t>SG GREF v8.14; VT_SG_PRI_GREF</t>
        </is>
      </c>
      <c r="F28" t="inlineStr">
        <is>
          <t>WP1</t>
        </is>
      </c>
      <c r="G28" t="inlineStr">
        <is>
          <t>Scenario analysis</t>
        </is>
      </c>
      <c r="H28" t="inlineStr">
        <is>
          <t>IMPCOA00</t>
        </is>
      </c>
      <c r="I28" t="inlineStr">
        <is>
          <t>Import Coal Standard</t>
        </is>
      </c>
      <c r="J28" t="inlineStr">
        <is>
          <t>SG</t>
        </is>
      </c>
      <c r="K28" s="27" t="n">
        <v>2054</v>
      </c>
      <c r="L28" t="n">
        <v>2018</v>
      </c>
      <c r="M28" t="inlineStr">
        <is>
          <t>NA</t>
        </is>
      </c>
      <c r="O28" t="n">
        <v>94.59999999999999</v>
      </c>
      <c r="P28" t="inlineStr">
        <is>
          <t>PJ</t>
        </is>
      </c>
      <c r="Q28" t="inlineStr">
        <is>
          <t>MSGD2016</t>
        </is>
      </c>
      <c r="R28" t="inlineStr">
        <is>
          <t>NA</t>
        </is>
      </c>
      <c r="S28" t="inlineStr">
        <is>
          <t>PJ</t>
        </is>
      </c>
      <c r="T28" t="inlineStr">
        <is>
          <t>NA</t>
        </is>
      </c>
      <c r="U28" t="inlineStr">
        <is>
          <t>PJ*yr(2018)</t>
        </is>
      </c>
      <c r="V28">
        <f>SUMIFS([1]Data_BY!V$2:V$51,[1]Data_BY!$B$2:$B$51,[1]Import!$K7)</f>
        <v/>
      </c>
    </row>
    <row r="29">
      <c r="A29" t="inlineStr">
        <is>
          <t>Primary</t>
        </is>
      </c>
      <c r="B29" t="inlineStr">
        <is>
          <t>ESI</t>
        </is>
      </c>
      <c r="C29" t="inlineStr">
        <is>
          <t>WP1</t>
        </is>
      </c>
      <c r="D29" t="inlineStr">
        <is>
          <t>GREF</t>
        </is>
      </c>
      <c r="E29" t="inlineStr">
        <is>
          <t>SG GREF v8.14; VT_SG_PRI_GREF</t>
        </is>
      </c>
      <c r="F29" t="inlineStr">
        <is>
          <t>WP1</t>
        </is>
      </c>
      <c r="G29" t="inlineStr">
        <is>
          <t>Scenario analysis</t>
        </is>
      </c>
      <c r="H29" t="inlineStr">
        <is>
          <t>IMPCOA00</t>
        </is>
      </c>
      <c r="I29" t="inlineStr">
        <is>
          <t>Import Coal Standard</t>
        </is>
      </c>
      <c r="J29" t="inlineStr">
        <is>
          <t>SG</t>
        </is>
      </c>
      <c r="K29" s="27" t="n">
        <v>2056</v>
      </c>
      <c r="L29" t="n">
        <v>2018</v>
      </c>
      <c r="M29" t="inlineStr">
        <is>
          <t>NA</t>
        </is>
      </c>
      <c r="O29" t="n">
        <v>94.59999999999999</v>
      </c>
      <c r="P29" t="inlineStr">
        <is>
          <t>PJ</t>
        </is>
      </c>
      <c r="Q29" t="inlineStr">
        <is>
          <t>MSGD2016</t>
        </is>
      </c>
      <c r="R29" t="inlineStr">
        <is>
          <t>NA</t>
        </is>
      </c>
      <c r="S29" t="inlineStr">
        <is>
          <t>PJ</t>
        </is>
      </c>
      <c r="T29" t="inlineStr">
        <is>
          <t>NA</t>
        </is>
      </c>
      <c r="U29" t="inlineStr">
        <is>
          <t>PJ*yr(2018)</t>
        </is>
      </c>
      <c r="V29">
        <f>SUMIFS([1]Data_BY!W$2:W$51,[1]Data_BY!$B$2:$B$51,[1]Import!$K7)</f>
        <v/>
      </c>
    </row>
    <row r="30">
      <c r="A30" t="inlineStr">
        <is>
          <t>Primary</t>
        </is>
      </c>
      <c r="B30" t="inlineStr">
        <is>
          <t>ESI</t>
        </is>
      </c>
      <c r="C30" t="inlineStr">
        <is>
          <t>WP1</t>
        </is>
      </c>
      <c r="D30" t="inlineStr">
        <is>
          <t>GREF</t>
        </is>
      </c>
      <c r="E30" t="inlineStr">
        <is>
          <t>SG GREF v8.14; VT_SG_PRI_GREF</t>
        </is>
      </c>
      <c r="F30" t="inlineStr">
        <is>
          <t>WP1</t>
        </is>
      </c>
      <c r="G30" t="inlineStr">
        <is>
          <t>Scenario analysis</t>
        </is>
      </c>
      <c r="H30" t="inlineStr">
        <is>
          <t>IMPCOA00</t>
        </is>
      </c>
      <c r="I30" t="inlineStr">
        <is>
          <t>Import Coal Standard</t>
        </is>
      </c>
      <c r="J30" t="inlineStr">
        <is>
          <t>SG</t>
        </is>
      </c>
      <c r="K30" s="27" t="n">
        <v>2058</v>
      </c>
      <c r="L30" t="n">
        <v>2018</v>
      </c>
      <c r="M30" t="inlineStr">
        <is>
          <t>NA</t>
        </is>
      </c>
      <c r="O30" t="n">
        <v>94.59999999999999</v>
      </c>
      <c r="P30" t="inlineStr">
        <is>
          <t>PJ</t>
        </is>
      </c>
      <c r="Q30" t="inlineStr">
        <is>
          <t>MSGD2016</t>
        </is>
      </c>
      <c r="R30" t="inlineStr">
        <is>
          <t>NA</t>
        </is>
      </c>
      <c r="S30" t="inlineStr">
        <is>
          <t>PJ</t>
        </is>
      </c>
      <c r="T30" t="inlineStr">
        <is>
          <t>NA</t>
        </is>
      </c>
      <c r="U30" t="inlineStr">
        <is>
          <t>PJ*yr(2018)</t>
        </is>
      </c>
      <c r="V30">
        <f>SUMIFS([1]Data_BY!X$2:X$51,[1]Data_BY!$B$2:$B$51,[1]Import!$K7)</f>
        <v/>
      </c>
    </row>
    <row r="31">
      <c r="A31" t="inlineStr">
        <is>
          <t>Primary</t>
        </is>
      </c>
      <c r="B31" t="inlineStr">
        <is>
          <t>ESI</t>
        </is>
      </c>
      <c r="C31" t="inlineStr">
        <is>
          <t>WP1</t>
        </is>
      </c>
      <c r="D31" t="inlineStr">
        <is>
          <t>GREF</t>
        </is>
      </c>
      <c r="E31" t="inlineStr">
        <is>
          <t>SG GREF v8.14; VT_SG_PRI_GREF</t>
        </is>
      </c>
      <c r="F31" t="inlineStr">
        <is>
          <t>WP1</t>
        </is>
      </c>
      <c r="G31" t="inlineStr">
        <is>
          <t>Scenario analysis</t>
        </is>
      </c>
      <c r="H31" t="inlineStr">
        <is>
          <t>IMPCOA00</t>
        </is>
      </c>
      <c r="I31" t="inlineStr">
        <is>
          <t>Import Coal Standard</t>
        </is>
      </c>
      <c r="J31" t="inlineStr">
        <is>
          <t>SG</t>
        </is>
      </c>
      <c r="K31" s="27" t="n">
        <v>2060</v>
      </c>
      <c r="L31" t="n">
        <v>2018</v>
      </c>
      <c r="M31" t="inlineStr">
        <is>
          <t>NA</t>
        </is>
      </c>
      <c r="O31" t="n">
        <v>94.59999999999999</v>
      </c>
      <c r="P31" t="inlineStr">
        <is>
          <t>PJ</t>
        </is>
      </c>
      <c r="Q31" t="inlineStr">
        <is>
          <t>MSGD2016</t>
        </is>
      </c>
      <c r="R31" t="inlineStr">
        <is>
          <t>NA</t>
        </is>
      </c>
      <c r="S31" t="inlineStr">
        <is>
          <t>PJ</t>
        </is>
      </c>
      <c r="T31" t="inlineStr">
        <is>
          <t>NA</t>
        </is>
      </c>
      <c r="U31" t="inlineStr">
        <is>
          <t>PJ*yr(2018)</t>
        </is>
      </c>
      <c r="V31">
        <f>SUMIFS([1]Data_BY!Y$2:Y$51,[1]Data_BY!$B$2:$B$51,[1]Import!$K7)</f>
        <v/>
      </c>
    </row>
    <row r="32">
      <c r="A32" t="inlineStr">
        <is>
          <t>Primary</t>
        </is>
      </c>
      <c r="B32" t="inlineStr">
        <is>
          <t>ESI</t>
        </is>
      </c>
      <c r="C32" t="inlineStr">
        <is>
          <t>WP1</t>
        </is>
      </c>
      <c r="D32" t="inlineStr">
        <is>
          <t>GREF</t>
        </is>
      </c>
      <c r="E32" t="inlineStr">
        <is>
          <t>SG GREF v8.14; VT_SG_PRI_GREF</t>
        </is>
      </c>
      <c r="F32" t="inlineStr">
        <is>
          <t>WP1</t>
        </is>
      </c>
      <c r="G32" t="inlineStr">
        <is>
          <t>Scenario analysis</t>
        </is>
      </c>
      <c r="H32" t="inlineStr">
        <is>
          <t>IMPCOA00</t>
        </is>
      </c>
      <c r="I32" t="inlineStr">
        <is>
          <t>Import Coal Standard</t>
        </is>
      </c>
      <c r="J32" t="inlineStr">
        <is>
          <t>SG</t>
        </is>
      </c>
      <c r="K32" s="27" t="n">
        <v>2062</v>
      </c>
      <c r="L32" t="n">
        <v>2018</v>
      </c>
      <c r="M32" t="inlineStr">
        <is>
          <t>NA</t>
        </is>
      </c>
      <c r="O32" t="n">
        <v>94.59999999999999</v>
      </c>
      <c r="P32" t="inlineStr">
        <is>
          <t>PJ</t>
        </is>
      </c>
      <c r="Q32" t="inlineStr">
        <is>
          <t>MSGD2016</t>
        </is>
      </c>
      <c r="R32" t="inlineStr">
        <is>
          <t>NA</t>
        </is>
      </c>
      <c r="S32" t="inlineStr">
        <is>
          <t>PJ</t>
        </is>
      </c>
      <c r="T32" t="inlineStr">
        <is>
          <t>NA</t>
        </is>
      </c>
      <c r="U32" t="inlineStr">
        <is>
          <t>PJ*yr(2018)</t>
        </is>
      </c>
      <c r="V32">
        <f>SUMIFS([1]Data_BY!Z$2:Z$51,[1]Data_BY!$B$2:$B$51,[1]Import!$K7)</f>
        <v/>
      </c>
    </row>
    <row r="33">
      <c r="A33" t="inlineStr">
        <is>
          <t>Primary</t>
        </is>
      </c>
      <c r="B33" t="inlineStr">
        <is>
          <t>ESI</t>
        </is>
      </c>
      <c r="C33" t="inlineStr">
        <is>
          <t>WP1</t>
        </is>
      </c>
      <c r="D33" t="inlineStr">
        <is>
          <t>GREF</t>
        </is>
      </c>
      <c r="E33" t="inlineStr">
        <is>
          <t>SG GREF v8.14; VT_SG_PRI_GREF</t>
        </is>
      </c>
      <c r="F33" t="inlineStr">
        <is>
          <t>WP1</t>
        </is>
      </c>
      <c r="G33" t="inlineStr">
        <is>
          <t>Scenario analysis</t>
        </is>
      </c>
      <c r="H33" t="inlineStr">
        <is>
          <t>IMPCOA00</t>
        </is>
      </c>
      <c r="I33" t="inlineStr">
        <is>
          <t>Import Coal Standard</t>
        </is>
      </c>
      <c r="J33" t="inlineStr">
        <is>
          <t>SG</t>
        </is>
      </c>
      <c r="K33" s="27" t="n">
        <v>2064</v>
      </c>
      <c r="L33" t="n">
        <v>2018</v>
      </c>
      <c r="M33" t="inlineStr">
        <is>
          <t>NA</t>
        </is>
      </c>
      <c r="O33" t="n">
        <v>94.59999999999999</v>
      </c>
      <c r="P33" t="inlineStr">
        <is>
          <t>PJ</t>
        </is>
      </c>
      <c r="Q33" t="inlineStr">
        <is>
          <t>MSGD2016</t>
        </is>
      </c>
      <c r="R33" t="inlineStr">
        <is>
          <t>NA</t>
        </is>
      </c>
      <c r="S33" t="inlineStr">
        <is>
          <t>PJ</t>
        </is>
      </c>
      <c r="T33" t="inlineStr">
        <is>
          <t>NA</t>
        </is>
      </c>
      <c r="U33" t="inlineStr">
        <is>
          <t>PJ*yr(2018)</t>
        </is>
      </c>
      <c r="V33">
        <f>SUMIFS([1]Data_BY!AA$2:AA$51,[1]Data_BY!$B$2:$B$51,[1]Import!$K7)</f>
        <v/>
      </c>
    </row>
    <row r="34">
      <c r="A34" t="inlineStr">
        <is>
          <t>Primary</t>
        </is>
      </c>
      <c r="B34" t="inlineStr">
        <is>
          <t>ESI</t>
        </is>
      </c>
      <c r="C34" t="inlineStr">
        <is>
          <t>WP1</t>
        </is>
      </c>
      <c r="D34" t="inlineStr">
        <is>
          <t>GREF</t>
        </is>
      </c>
      <c r="E34" t="inlineStr">
        <is>
          <t>SG GREF v8.14; VT_SG_PRI_GREF</t>
        </is>
      </c>
      <c r="F34" t="inlineStr">
        <is>
          <t>WP1</t>
        </is>
      </c>
      <c r="G34" t="inlineStr">
        <is>
          <t>Scenario analysis</t>
        </is>
      </c>
      <c r="H34" t="inlineStr">
        <is>
          <t>IMPCOA00</t>
        </is>
      </c>
      <c r="I34" t="inlineStr">
        <is>
          <t>Import Coal Standard</t>
        </is>
      </c>
      <c r="J34" t="inlineStr">
        <is>
          <t>SG</t>
        </is>
      </c>
      <c r="K34" s="27" t="n">
        <v>2066</v>
      </c>
      <c r="L34" t="n">
        <v>2018</v>
      </c>
      <c r="M34" t="inlineStr">
        <is>
          <t>NA</t>
        </is>
      </c>
      <c r="O34" t="n">
        <v>94.59999999999999</v>
      </c>
      <c r="P34" t="inlineStr">
        <is>
          <t>PJ</t>
        </is>
      </c>
      <c r="Q34" t="inlineStr">
        <is>
          <t>MSGD2016</t>
        </is>
      </c>
      <c r="R34" t="inlineStr">
        <is>
          <t>NA</t>
        </is>
      </c>
      <c r="S34" t="inlineStr">
        <is>
          <t>PJ</t>
        </is>
      </c>
      <c r="T34" t="inlineStr">
        <is>
          <t>NA</t>
        </is>
      </c>
      <c r="U34" t="inlineStr">
        <is>
          <t>PJ*yr(2018)</t>
        </is>
      </c>
      <c r="V34">
        <f>SUMIFS([1]Data_BY!AB$2:AB$51,[1]Data_BY!$B$2:$B$51,[1]Import!$K7)</f>
        <v/>
      </c>
    </row>
    <row r="35">
      <c r="A35" t="inlineStr">
        <is>
          <t>Primary</t>
        </is>
      </c>
      <c r="B35" t="inlineStr">
        <is>
          <t>ESI</t>
        </is>
      </c>
      <c r="C35" t="inlineStr">
        <is>
          <t>WP1</t>
        </is>
      </c>
      <c r="D35" t="inlineStr">
        <is>
          <t>GREF</t>
        </is>
      </c>
      <c r="E35" t="inlineStr">
        <is>
          <t>SG GREF v8.14; VT_SG_PRI_GREF</t>
        </is>
      </c>
      <c r="F35" t="inlineStr">
        <is>
          <t>WP1</t>
        </is>
      </c>
      <c r="G35" t="inlineStr">
        <is>
          <t>Scenario analysis</t>
        </is>
      </c>
      <c r="H35" t="inlineStr">
        <is>
          <t>IMPCOA00</t>
        </is>
      </c>
      <c r="I35" t="inlineStr">
        <is>
          <t>Import Coal Standard</t>
        </is>
      </c>
      <c r="J35" t="inlineStr">
        <is>
          <t>SG</t>
        </is>
      </c>
      <c r="K35" s="27" t="n">
        <v>2068</v>
      </c>
      <c r="L35" t="n">
        <v>2018</v>
      </c>
      <c r="M35" t="inlineStr">
        <is>
          <t>NA</t>
        </is>
      </c>
      <c r="O35" t="n">
        <v>94.59999999999999</v>
      </c>
      <c r="P35" t="inlineStr">
        <is>
          <t>PJ</t>
        </is>
      </c>
      <c r="Q35" t="inlineStr">
        <is>
          <t>MSGD2016</t>
        </is>
      </c>
      <c r="R35" t="inlineStr">
        <is>
          <t>NA</t>
        </is>
      </c>
      <c r="S35" t="inlineStr">
        <is>
          <t>PJ</t>
        </is>
      </c>
      <c r="T35" t="inlineStr">
        <is>
          <t>NA</t>
        </is>
      </c>
      <c r="U35" t="inlineStr">
        <is>
          <t>PJ*yr(2018)</t>
        </is>
      </c>
      <c r="V35">
        <f>SUMIFS([1]Data_BY!AC$2:AC$51,[1]Data_BY!$B$2:$B$51,[1]Import!$K7)</f>
        <v/>
      </c>
    </row>
    <row r="36">
      <c r="A36" t="inlineStr">
        <is>
          <t>Primary</t>
        </is>
      </c>
      <c r="B36" t="inlineStr">
        <is>
          <t>ESI</t>
        </is>
      </c>
      <c r="C36" t="inlineStr">
        <is>
          <t>WP1</t>
        </is>
      </c>
      <c r="D36" t="inlineStr">
        <is>
          <t>GREF</t>
        </is>
      </c>
      <c r="E36" t="inlineStr">
        <is>
          <t>SG GREF v8.14; VT_SG_PRI_GREF</t>
        </is>
      </c>
      <c r="F36" t="inlineStr">
        <is>
          <t>WP1</t>
        </is>
      </c>
      <c r="G36" t="inlineStr">
        <is>
          <t>Scenario analysis</t>
        </is>
      </c>
      <c r="H36" t="inlineStr">
        <is>
          <t>IMPCOA00</t>
        </is>
      </c>
      <c r="I36" t="inlineStr">
        <is>
          <t>Import Coal Standard</t>
        </is>
      </c>
      <c r="J36" t="inlineStr">
        <is>
          <t>SG</t>
        </is>
      </c>
      <c r="K36" s="27" t="n">
        <v>2070</v>
      </c>
      <c r="L36" t="n">
        <v>2018</v>
      </c>
      <c r="M36" t="inlineStr">
        <is>
          <t>NA</t>
        </is>
      </c>
      <c r="O36" t="n">
        <v>94.59999999999999</v>
      </c>
      <c r="P36" t="inlineStr">
        <is>
          <t>PJ</t>
        </is>
      </c>
      <c r="Q36" t="inlineStr">
        <is>
          <t>MSGD2016</t>
        </is>
      </c>
      <c r="R36" t="inlineStr">
        <is>
          <t>NA</t>
        </is>
      </c>
      <c r="S36" t="inlineStr">
        <is>
          <t>PJ</t>
        </is>
      </c>
      <c r="T36" t="inlineStr">
        <is>
          <t>NA</t>
        </is>
      </c>
      <c r="U36" t="inlineStr">
        <is>
          <t>PJ*yr(2018)</t>
        </is>
      </c>
      <c r="V36">
        <f>SUMIFS([1]Data_BY!AD$2:AD$51,[1]Data_BY!$B$2:$B$51,[1]Import!$K7)</f>
        <v/>
      </c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R1" zoomScale="80" zoomScaleNormal="80" workbookViewId="0">
      <selection activeCell="U2" sqref="U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/import cost(S$)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Transportation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VT_SG_TRN_GREF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TRPGSLCAR00</t>
        </is>
      </c>
      <c r="I10" t="inlineStr">
        <is>
          <t>Transport Person Gasoline Car (No FC improvement)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0</v>
      </c>
      <c r="O10" t="n">
        <v>69.3</v>
      </c>
      <c r="P10" t="inlineStr">
        <is>
          <t>PJ</t>
        </is>
      </c>
      <c r="Q10" t="inlineStr">
        <is>
          <t>MSGD2016</t>
        </is>
      </c>
      <c r="R10" t="n">
        <v>455.077331309287</v>
      </c>
      <c r="S10" t="inlineStr">
        <is>
          <t>PJ</t>
        </is>
      </c>
      <c r="T10" t="n">
        <v>43.1883727602764</v>
      </c>
      <c r="U10" t="inlineStr">
        <is>
          <t>PJ*yr(2018)</t>
        </is>
      </c>
      <c r="V10" t="n">
        <v>4.929792101707407</v>
      </c>
      <c r="W10" t="inlineStr">
        <is>
          <t>PJ (2018)</t>
        </is>
      </c>
      <c r="X10" t="n">
        <v>346.911306359058</v>
      </c>
      <c r="Z10" t="inlineStr">
        <is>
          <t>13.33 km/litre</t>
        </is>
      </c>
      <c r="AA10" t="n">
        <v>1</v>
      </c>
      <c r="AB10" t="n">
        <v>1</v>
      </c>
      <c r="AC10" t="inlineStr">
        <is>
          <t>TRPGSL</t>
        </is>
      </c>
      <c r="AD10" t="n">
        <v>697.324982101127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29.19560235061</v>
      </c>
      <c r="AI10" t="inlineStr">
        <is>
          <t>FX</t>
        </is>
      </c>
    </row>
    <row r="11" customFormat="1" s="26">
      <c r="K11" s="27" t="n"/>
      <c r="U11" t="n"/>
    </row>
    <row r="12" customFormat="1" s="26">
      <c r="K12" s="27" t="n"/>
      <c r="U12" t="n"/>
    </row>
    <row r="13" customFormat="1" s="26">
      <c r="K13" s="27" t="n"/>
      <c r="U13" t="n"/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B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Water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VT_SG_WAT_GREF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WATELEDSA00</t>
        </is>
      </c>
      <c r="I10" t="inlineStr">
        <is>
          <t>Desalination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25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295.318706611724</v>
      </c>
      <c r="S10" t="inlineStr">
        <is>
          <t>PJ</t>
        </is>
      </c>
      <c r="T10" t="n">
        <v>0.0831569959535212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4.1 kWh/m3</t>
        </is>
      </c>
      <c r="AA10" t="n">
        <v>1</v>
      </c>
      <c r="AB10" t="n">
        <v>1</v>
      </c>
      <c r="AC10" t="inlineStr">
        <is>
          <t>ELE</t>
        </is>
      </c>
      <c r="AD10" t="n">
        <v>191.648760372056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0.689935537339402</v>
      </c>
      <c r="AI10" t="inlineStr">
        <is>
          <t>FX</t>
        </is>
      </c>
    </row>
    <row r="11" customFormat="1" s="26">
      <c r="A11" t="inlineStr">
        <is>
          <t>Water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VT_SG_WAT_GREF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WATELEDSA00</t>
        </is>
      </c>
      <c r="I11" t="inlineStr">
        <is>
          <t>Desalination standard</t>
        </is>
      </c>
      <c r="J11" t="inlineStr">
        <is>
          <t>SG</t>
        </is>
      </c>
      <c r="K11" s="27" t="n">
        <v>2030</v>
      </c>
      <c r="L11" t="n">
        <v>2018</v>
      </c>
      <c r="M11" t="n">
        <v>25</v>
      </c>
      <c r="O11" t="n">
        <v>0</v>
      </c>
      <c r="P11" t="inlineStr">
        <is>
          <t>PJ</t>
        </is>
      </c>
      <c r="Q11" t="inlineStr">
        <is>
          <t>MSGD2016</t>
        </is>
      </c>
      <c r="R11" t="n">
        <v>236.254965289379</v>
      </c>
      <c r="S11" t="inlineStr">
        <is>
          <t>PJ</t>
        </is>
      </c>
      <c r="T11" t="n">
        <v>0.066525596762817</v>
      </c>
      <c r="U11" t="inlineStr">
        <is>
          <t>PJ*yr</t>
        </is>
      </c>
      <c r="V11" t="n">
        <v>0</v>
      </c>
      <c r="Z11" t="inlineStr">
        <is>
          <t>4.1 kWh/m3</t>
        </is>
      </c>
      <c r="AA11" t="n">
        <v>1</v>
      </c>
      <c r="AC11" t="inlineStr">
        <is>
          <t>ELE</t>
        </is>
      </c>
      <c r="AD11" t="n">
        <v>191.648760372056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0.689935537339402</v>
      </c>
      <c r="AI11" t="inlineStr">
        <is>
          <t>FX</t>
        </is>
      </c>
    </row>
    <row r="12" customFormat="1" s="26">
      <c r="A12" t="inlineStr">
        <is>
          <t>Water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VT_SG_WAT_GREF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WATELEDSA00</t>
        </is>
      </c>
      <c r="I12" t="inlineStr">
        <is>
          <t>Desalination standard</t>
        </is>
      </c>
      <c r="J12" t="inlineStr">
        <is>
          <t>SG</t>
        </is>
      </c>
      <c r="K12" s="27" t="n">
        <v>2040</v>
      </c>
      <c r="L12" t="n">
        <v>2018</v>
      </c>
      <c r="M12" t="n">
        <v>25</v>
      </c>
      <c r="O12" t="n">
        <v>0</v>
      </c>
      <c r="P12" t="inlineStr">
        <is>
          <t>PJ</t>
        </is>
      </c>
      <c r="Q12" t="inlineStr">
        <is>
          <t>MSGD2016</t>
        </is>
      </c>
      <c r="R12" t="n">
        <v>189.003972231503</v>
      </c>
      <c r="S12" t="inlineStr">
        <is>
          <t>PJ</t>
        </is>
      </c>
      <c r="T12" t="n">
        <v>0.05322047741025356</v>
      </c>
      <c r="U12" t="inlineStr">
        <is>
          <t>PJ*yr</t>
        </is>
      </c>
      <c r="V12" t="n">
        <v>0</v>
      </c>
      <c r="Z12" t="inlineStr">
        <is>
          <t>4.1 kWh/m3</t>
        </is>
      </c>
      <c r="AA12" t="n">
        <v>1</v>
      </c>
      <c r="AC12" t="inlineStr">
        <is>
          <t>ELE</t>
        </is>
      </c>
      <c r="AD12" t="n">
        <v>191.648760372056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0.689935537339402</v>
      </c>
      <c r="AI12" t="inlineStr">
        <is>
          <t>FX</t>
        </is>
      </c>
    </row>
    <row r="13" customFormat="1" s="26">
      <c r="A13" t="inlineStr">
        <is>
          <t>Water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VT_SG_WAT_GREF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WATELEDSA00</t>
        </is>
      </c>
      <c r="I13" t="inlineStr">
        <is>
          <t>Desalination standard</t>
        </is>
      </c>
      <c r="J13" t="inlineStr">
        <is>
          <t>SG</t>
        </is>
      </c>
      <c r="K13" s="27" t="n">
        <v>2050</v>
      </c>
      <c r="L13" t="n">
        <v>2018</v>
      </c>
      <c r="M13" t="n">
        <v>25</v>
      </c>
      <c r="O13" t="n">
        <v>0</v>
      </c>
      <c r="P13" t="inlineStr">
        <is>
          <t>PJ</t>
        </is>
      </c>
      <c r="Q13" t="inlineStr">
        <is>
          <t>MSGD2016</t>
        </is>
      </c>
      <c r="R13" t="n">
        <v>147.659353305862</v>
      </c>
      <c r="S13" t="inlineStr">
        <is>
          <t>PJ</t>
        </is>
      </c>
      <c r="T13" t="n">
        <v>0.04157849797676059</v>
      </c>
      <c r="U13" t="inlineStr">
        <is>
          <t>PJ*yr</t>
        </is>
      </c>
      <c r="V13" t="n">
        <v>0</v>
      </c>
      <c r="Z13" t="inlineStr">
        <is>
          <t>4.1 kWh/m3</t>
        </is>
      </c>
      <c r="AA13" t="n">
        <v>1</v>
      </c>
      <c r="AC13" t="inlineStr">
        <is>
          <t>ELE</t>
        </is>
      </c>
      <c r="AD13" t="n">
        <v>191.648760372056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0.689935537339402</v>
      </c>
      <c r="AI13" t="inlineStr">
        <is>
          <t>FX</t>
        </is>
      </c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C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Waste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VT_SG_WST_GREF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WSTELESOR00</t>
        </is>
      </c>
      <c r="I10" t="inlineStr">
        <is>
          <t>Waste Sorting Facilities Electricity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1555.55555555556</v>
      </c>
      <c r="S10" t="inlineStr">
        <is>
          <t>PJ</t>
        </is>
      </c>
      <c r="T10" t="n">
        <v>31.1111111111111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25 kWh/tone</t>
        </is>
      </c>
      <c r="AA10" t="n">
        <v>1</v>
      </c>
      <c r="AB10" t="n">
        <v>1</v>
      </c>
      <c r="AC10" t="inlineStr">
        <is>
          <t>ELE</t>
        </is>
      </c>
      <c r="AD10" s="27" t="n">
        <v>0.135881588896312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0.135881588896312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0.08621856523310049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VT_SG_BLD_GREF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BDEELEACC00</t>
        </is>
      </c>
      <c r="I10" t="inlineStr">
        <is>
          <t>Commercial A/C Chiller System Gold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161.454778498758</v>
      </c>
      <c r="S10" t="inlineStr">
        <is>
          <t>PJ</t>
        </is>
      </c>
      <c r="T10" t="n">
        <v>5.58391412320756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5782.30069019963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5861.9594894828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10" sqref="N10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Household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VT_SG_HHD_GREF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HHDELERFG90</t>
        </is>
      </c>
      <c r="I10" t="inlineStr">
        <is>
          <t>Residential Refrigerators 4 ticks (NEA Classification)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90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2064.56456456456</v>
      </c>
      <c r="S10" t="inlineStr">
        <is>
          <t>PJ</t>
        </is>
      </c>
      <c r="T10" t="n">
        <v>7.03828828828829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0.57 kWh/L</t>
        </is>
      </c>
      <c r="AA10" t="n">
        <v>2.6</v>
      </c>
      <c r="AB10" t="n">
        <v>1</v>
      </c>
      <c r="AC10" t="inlineStr">
        <is>
          <t>ELE</t>
        </is>
      </c>
      <c r="AD10" s="27" t="n">
        <v>0.130916993233352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1.07532792248349</v>
      </c>
    </row>
    <row r="12" customFormat="1" s="26">
      <c r="K12" s="27" t="n">
        <v>2022</v>
      </c>
      <c r="U12" t="n"/>
      <c r="AD12" s="27" t="n">
        <v>3.3424466467599</v>
      </c>
    </row>
    <row r="13" customFormat="1" s="26">
      <c r="K13" s="27" t="n">
        <v>2024</v>
      </c>
      <c r="U13" t="n"/>
      <c r="AD13" s="27" t="n">
        <v>7.59876710648282</v>
      </c>
    </row>
    <row r="14" customFormat="1" s="26">
      <c r="K14" s="27" t="n">
        <v>2026</v>
      </c>
      <c r="U14" t="n"/>
      <c r="AD14" s="27" t="n">
        <v>13.6190516199328</v>
      </c>
    </row>
    <row r="15" customFormat="1" s="26">
      <c r="K15" s="27" t="n">
        <v>2028</v>
      </c>
      <c r="U15" t="n"/>
      <c r="AD15" s="27" t="n">
        <v>20.8403577197902</v>
      </c>
    </row>
    <row r="16" customFormat="1" s="26">
      <c r="K16" s="27" t="n">
        <v>2030</v>
      </c>
      <c r="U16" t="n"/>
      <c r="AD16" s="27" t="n">
        <v>28.5135299075653</v>
      </c>
    </row>
    <row r="17" customFormat="1" s="26">
      <c r="K17" s="27" t="n">
        <v>2032</v>
      </c>
      <c r="U17" t="n"/>
      <c r="AD17" s="27" t="n">
        <v>35.1042393631537</v>
      </c>
    </row>
    <row r="18" customFormat="1" s="26">
      <c r="K18" s="27" t="n">
        <v>2034</v>
      </c>
      <c r="U18" t="n"/>
      <c r="AD18" s="27" t="n">
        <v>39.7916681919892</v>
      </c>
    </row>
    <row r="19" customFormat="1" s="26">
      <c r="K19" s="27" t="n">
        <v>2036</v>
      </c>
      <c r="U19" t="n"/>
      <c r="AD19" s="27" t="n">
        <v>42.9670004608781</v>
      </c>
    </row>
    <row r="20" customFormat="1" s="26">
      <c r="K20" s="27" t="n">
        <v>2038</v>
      </c>
      <c r="U20" t="n"/>
      <c r="AD20" s="27" t="n">
        <v>45.0792674990374</v>
      </c>
    </row>
    <row r="21" customFormat="1" s="26">
      <c r="K21" s="27" t="n">
        <v>2040</v>
      </c>
      <c r="U21" t="n"/>
      <c r="AD21" s="27" t="n">
        <v>46.6455224769057</v>
      </c>
    </row>
    <row r="22">
      <c r="K22" s="27" t="n">
        <v>2042</v>
      </c>
      <c r="AD22" s="27" t="n">
        <v>48.1431134556486</v>
      </c>
    </row>
    <row r="23">
      <c r="K23" s="27" t="n">
        <v>2044</v>
      </c>
      <c r="AD23" s="27" t="n">
        <v>49.6407044343914</v>
      </c>
    </row>
    <row r="24">
      <c r="K24" s="27" t="n">
        <v>2046</v>
      </c>
      <c r="AD24" s="27" t="n">
        <v>51.1382954131343</v>
      </c>
    </row>
    <row r="25">
      <c r="K25" s="27" t="n">
        <v>2048</v>
      </c>
      <c r="AD25" s="27" t="n">
        <v>52.6358863918771</v>
      </c>
    </row>
    <row r="26">
      <c r="K26" s="27" t="n">
        <v>2050</v>
      </c>
      <c r="AD26" s="27" t="n">
        <v>54.1334773706199</v>
      </c>
    </row>
    <row r="27">
      <c r="K27" s="27" t="n">
        <v>2052</v>
      </c>
      <c r="AD27" s="27" t="n">
        <v>55.3349930375882</v>
      </c>
    </row>
    <row r="28">
      <c r="K28" s="27" t="n">
        <v>2054</v>
      </c>
      <c r="AD28" s="27" t="n">
        <v>56.7566004298404</v>
      </c>
    </row>
    <row r="29">
      <c r="K29" s="27" t="n">
        <v>2056</v>
      </c>
      <c r="AD29" s="27" t="n">
        <v>58.1782078220927</v>
      </c>
    </row>
    <row r="30">
      <c r="K30" s="27" t="n">
        <v>2058</v>
      </c>
      <c r="AD30" s="27" t="n">
        <v>59.5998152143449</v>
      </c>
    </row>
    <row r="31">
      <c r="K31" s="27" t="n">
        <v>2060</v>
      </c>
      <c r="AD31" s="27" t="n">
        <v>61.0214226065972</v>
      </c>
    </row>
    <row r="32">
      <c r="K32" s="27" t="n">
        <v>2062</v>
      </c>
      <c r="AD32" s="27" t="n">
        <v>61.0214226065972</v>
      </c>
    </row>
    <row r="33">
      <c r="K33" s="27" t="n">
        <v>2064</v>
      </c>
      <c r="AD33" s="27" t="n">
        <v>61.0214226065972</v>
      </c>
    </row>
    <row r="34">
      <c r="K34" s="27" t="n">
        <v>2066</v>
      </c>
      <c r="AD34" s="27" t="n">
        <v>61.0214226065972</v>
      </c>
    </row>
    <row r="35">
      <c r="K35" s="27" t="n">
        <v>2068</v>
      </c>
      <c r="AD35" s="27" t="n">
        <v>61.0214226065972</v>
      </c>
    </row>
    <row r="36">
      <c r="K36" s="27" t="n">
        <v>2070</v>
      </c>
      <c r="AD36" s="27" t="n">
        <v>61.0214226065972</v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D1" zoomScale="80" zoomScaleNormal="80" workbookViewId="0">
      <selection activeCell="F16" sqref="F16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VT_SG_AGR_GREF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AFVELEACC00</t>
        </is>
      </c>
      <c r="I10" t="inlineStr">
        <is>
          <t>Agrifood A/C Unitary Systems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137.960070139835</v>
      </c>
      <c r="S10" t="inlineStr">
        <is>
          <t>PJ</t>
        </is>
      </c>
      <c r="T10" t="n">
        <v>6.20434902578618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0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2.38034812454033</v>
      </c>
    </row>
    <row r="12" customFormat="1" s="26">
      <c r="K12" s="27" t="n">
        <v>2022</v>
      </c>
      <c r="U12" t="n"/>
      <c r="AD12" s="27" t="n">
        <v>18.5679954976323</v>
      </c>
    </row>
    <row r="13" customFormat="1" s="26">
      <c r="K13" s="27" t="n">
        <v>2024</v>
      </c>
      <c r="U13" t="n"/>
      <c r="AD13" s="27" t="n">
        <v>90.2160834916686</v>
      </c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H1" zoomScale="80" zoomScaleNormal="80" workbookViewId="0">
      <selection activeCell="I32" sqref="I3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46" t="inlineStr">
        <is>
          <t>traceability</t>
        </is>
      </c>
      <c r="C1" s="54" t="n"/>
      <c r="D1" s="54" t="n"/>
      <c r="E1" s="54" t="n"/>
      <c r="F1" s="55" t="n"/>
      <c r="G1" s="46" t="n"/>
      <c r="H1" s="47" t="inlineStr">
        <is>
          <t>dataset descriptor</t>
        </is>
      </c>
      <c r="I1" s="54" t="n"/>
      <c r="J1" s="54" t="n"/>
      <c r="K1" s="54" t="n"/>
      <c r="L1" s="54" t="n"/>
      <c r="M1" s="55" t="n"/>
      <c r="N1" s="47" t="n"/>
      <c r="O1" s="49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49" t="n"/>
      <c r="Y1" s="49" t="n"/>
      <c r="Z1" s="47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1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39" t="n"/>
      <c r="AK3" s="40" t="n"/>
      <c r="AL3" s="40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50" t="inlineStr">
        <is>
          <t>Emissions Factors</t>
        </is>
      </c>
      <c r="P4" s="55" t="n"/>
      <c r="Q4" s="50" t="n"/>
      <c r="R4" s="50" t="inlineStr">
        <is>
          <t>CAPEX</t>
        </is>
      </c>
      <c r="S4" s="54" t="n"/>
      <c r="T4" s="54" t="n"/>
      <c r="U4" s="55" t="n"/>
      <c r="V4" s="50" t="inlineStr">
        <is>
          <t>OPEX</t>
        </is>
      </c>
      <c r="W4" s="55" t="n"/>
      <c r="X4" s="50" t="n"/>
      <c r="Y4" s="50" t="n"/>
      <c r="Z4" s="51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1" t="n"/>
      <c r="AA5" s="51" t="n"/>
      <c r="AB5" s="51" t="n"/>
      <c r="AC5" s="51" t="n"/>
      <c r="AD5" s="51" t="n"/>
      <c r="AE5" s="51" t="n"/>
      <c r="AF5" s="51" t="n"/>
      <c r="AG5" s="52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1" t="n"/>
      <c r="AA6" s="51" t="n"/>
      <c r="AB6" s="51" t="n"/>
      <c r="AC6" s="51" t="n"/>
      <c r="AD6" s="51" t="n"/>
      <c r="AE6" s="51" t="n"/>
      <c r="AF6" s="51" t="n"/>
      <c r="AG6" s="52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1" t="n"/>
      <c r="AA7" s="51" t="n"/>
      <c r="AB7" s="51" t="n"/>
      <c r="AC7" s="51" t="n"/>
      <c r="AD7" s="51" t="n"/>
      <c r="AE7" s="51" t="n"/>
      <c r="AF7" s="51" t="n"/>
      <c r="AG7" s="52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43" t="inlineStr">
        <is>
          <t>Build Cost (S$)</t>
        </is>
      </c>
      <c r="S9" s="55" t="n"/>
      <c r="T9" s="43" t="inlineStr">
        <is>
          <t>FO&amp;M Charge (S$)</t>
        </is>
      </c>
      <c r="U9" s="55" t="n"/>
      <c r="V9" s="43" t="inlineStr">
        <is>
          <t>VO&amp;M/Resource cost (S$)</t>
        </is>
      </c>
      <c r="W9" s="55" t="n"/>
      <c r="X9" s="45" t="n"/>
      <c r="Y9" s="45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VT_SG_IFC_GREF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IFEELEACC00</t>
        </is>
      </c>
      <c r="I10" t="inlineStr">
        <is>
          <t>EDC HVAC Stardard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N10" t="n">
        <v>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34.880771182141</v>
      </c>
      <c r="S10" t="inlineStr">
        <is>
          <t>PJ</t>
        </is>
      </c>
      <c r="T10" t="n">
        <v>3.6943870440507</v>
      </c>
      <c r="U10" t="inlineStr">
        <is>
          <t>PJ*yr</t>
        </is>
      </c>
      <c r="V10" t="n">
        <v>0</v>
      </c>
      <c r="W10" t="inlineStr">
        <is>
          <t>PJ (2018)</t>
        </is>
      </c>
      <c r="Z10" t="n">
        <v>0</v>
      </c>
      <c r="AA10" t="n">
        <v>1</v>
      </c>
      <c r="AB10" t="n">
        <v>1</v>
      </c>
      <c r="AC10" t="inlineStr">
        <is>
          <t>ELE</t>
        </is>
      </c>
      <c r="AD10" s="27" t="n">
        <v>78.8152276295133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0.283734819466248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206.457107436089</v>
      </c>
    </row>
    <row r="12" customFormat="1" s="26">
      <c r="K12" s="27" t="n">
        <v>2022</v>
      </c>
      <c r="U12" t="n"/>
      <c r="AD12" s="27" t="n">
        <v>371.0485838859</v>
      </c>
    </row>
    <row r="13" customFormat="1" s="26">
      <c r="K13" s="27" t="n">
        <v>2024</v>
      </c>
      <c r="U13" t="n"/>
      <c r="AD13" s="27" t="n">
        <v>544.3563492020299</v>
      </c>
    </row>
    <row r="14" customFormat="1" s="26">
      <c r="K14" s="27" t="n">
        <v>2026</v>
      </c>
      <c r="U14" t="n"/>
      <c r="AD14" s="27" t="n">
        <v>651.279117296912</v>
      </c>
    </row>
    <row r="15" customFormat="1" s="26">
      <c r="K15" s="27" t="n">
        <v>2028</v>
      </c>
      <c r="U15" t="n"/>
      <c r="AD15" s="27" t="n">
        <v>709.958426053507</v>
      </c>
    </row>
    <row r="16" customFormat="1" s="26">
      <c r="K16" s="27" t="n">
        <v>2030</v>
      </c>
      <c r="U16" t="n"/>
      <c r="AD16" s="27" t="n">
        <v>773.693204053848</v>
      </c>
    </row>
    <row r="17" customFormat="1" s="26">
      <c r="U17" t="n"/>
    </row>
    <row r="18" customFormat="1" s="26">
      <c r="U18" t="n"/>
    </row>
    <row r="19" customFormat="1" s="26">
      <c r="U19" t="n"/>
    </row>
    <row r="20" customFormat="1" s="26">
      <c r="U20" t="n"/>
    </row>
    <row r="21" customFormat="1" s="26">
      <c r="U21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 Zhaomin</dc:creator>
  <dcterms:created xsi:type="dcterms:W3CDTF">2026-01-21T02:06:54Z</dcterms:created>
  <dcterms:modified xsi:type="dcterms:W3CDTF">2026-04-01T05:01:17Z</dcterms:modified>
  <cp:lastModifiedBy>Fan Yazhuoting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0x0101009913A72E95D6C74FA6CE9E44ACC43310</vt:lpwstr>
  </property>
  <property name="MediaServiceImageTags" fmtid="{D5CDD505-2E9C-101B-9397-08002B2CF9AE}" pid="3">
    <vt:lpwstr/>
  </property>
</Properties>
</file>